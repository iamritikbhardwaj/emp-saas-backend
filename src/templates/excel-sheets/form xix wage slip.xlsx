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3BDC9E44-3BBB-4B7A-AFF2-EABB56B6C532}" xr6:coauthVersionLast="47" xr6:coauthVersionMax="47" xr10:uidLastSave="{00000000-0000-0000-0000-000000000000}"/>
  <bookViews>
    <workbookView xWindow="-108" yWindow="-108" windowWidth="23256" windowHeight="12576" xr2:uid="{D117B26A-2317-46F7-891B-1A5F2553C1FF}"/>
  </bookViews>
  <sheets>
    <sheet name="form XIX wage slip" sheetId="1" r:id="rId1"/>
  </sheets>
  <externalReferences>
    <externalReference r:id="rId2"/>
  </externalReferences>
  <definedNames>
    <definedName name="_xlnm.Print_Area" localSheetId="0">'form XIX wage slip'!$A$1:$C$20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/>
  <c r="B10" i="1"/>
  <c r="B12" i="1"/>
  <c r="B13" i="1"/>
  <c r="B14" i="1"/>
  <c r="B15" i="1"/>
  <c r="B16" i="1"/>
  <c r="D23" i="1"/>
  <c r="B28" i="1" s="1"/>
  <c r="B27" i="1"/>
  <c r="B30" i="1"/>
  <c r="B31" i="1"/>
  <c r="B35" i="1"/>
  <c r="B36" i="1"/>
  <c r="B37" i="1"/>
  <c r="B49" i="1"/>
  <c r="B52" i="1"/>
  <c r="B70" i="1"/>
  <c r="B73" i="1"/>
  <c r="B95" i="1" s="1"/>
  <c r="B117" i="1" s="1"/>
  <c r="B140" i="1" s="1"/>
  <c r="B162" i="1" s="1"/>
  <c r="B184" i="1" s="1"/>
  <c r="B206" i="1" s="1"/>
  <c r="B227" i="1" s="1"/>
  <c r="B249" i="1" s="1"/>
  <c r="B270" i="1" s="1"/>
  <c r="B292" i="1" s="1"/>
  <c r="B313" i="1" s="1"/>
  <c r="B335" i="1" s="1"/>
  <c r="B357" i="1" s="1"/>
  <c r="B380" i="1" s="1"/>
  <c r="B402" i="1" s="1"/>
  <c r="B424" i="1" s="1"/>
  <c r="B446" i="1" s="1"/>
  <c r="B467" i="1" s="1"/>
  <c r="B489" i="1" s="1"/>
  <c r="B510" i="1" s="1"/>
  <c r="B532" i="1" s="1"/>
  <c r="B553" i="1" s="1"/>
  <c r="B575" i="1" s="1"/>
  <c r="B597" i="1" s="1"/>
  <c r="B620" i="1" s="1"/>
  <c r="B642" i="1" s="1"/>
  <c r="B664" i="1" s="1"/>
  <c r="B686" i="1" s="1"/>
  <c r="B707" i="1" s="1"/>
  <c r="B729" i="1" s="1"/>
  <c r="B750" i="1" s="1"/>
  <c r="B772" i="1" s="1"/>
  <c r="B793" i="1" s="1"/>
  <c r="B815" i="1" s="1"/>
  <c r="B837" i="1" s="1"/>
  <c r="B92" i="1"/>
  <c r="B114" i="1"/>
  <c r="B137" i="1"/>
  <c r="B159" i="1"/>
  <c r="B181" i="1"/>
  <c r="B203" i="1"/>
  <c r="B224" i="1"/>
  <c r="B246" i="1"/>
  <c r="B267" i="1"/>
  <c r="B289" i="1"/>
  <c r="B310" i="1"/>
  <c r="B332" i="1"/>
  <c r="B354" i="1"/>
  <c r="B377" i="1"/>
  <c r="B399" i="1"/>
  <c r="B421" i="1"/>
  <c r="B443" i="1"/>
  <c r="B464" i="1"/>
  <c r="B486" i="1"/>
  <c r="B507" i="1"/>
  <c r="B529" i="1"/>
  <c r="B550" i="1"/>
  <c r="B572" i="1"/>
  <c r="B594" i="1"/>
  <c r="B617" i="1"/>
  <c r="B639" i="1"/>
  <c r="B661" i="1"/>
  <c r="B683" i="1"/>
  <c r="B704" i="1"/>
  <c r="B726" i="1"/>
  <c r="B747" i="1"/>
  <c r="B769" i="1"/>
  <c r="B790" i="1"/>
  <c r="B812" i="1"/>
  <c r="B834" i="1"/>
  <c r="B857" i="1"/>
  <c r="B879" i="1"/>
  <c r="B901" i="1"/>
  <c r="B923" i="1"/>
  <c r="B945" i="1"/>
  <c r="B967" i="1"/>
  <c r="B989" i="1"/>
  <c r="B1011" i="1"/>
  <c r="B1033" i="1"/>
  <c r="B1055" i="1"/>
  <c r="B1077" i="1"/>
  <c r="B1099" i="1"/>
  <c r="B1121" i="1"/>
  <c r="B1143" i="1"/>
  <c r="B1165" i="1"/>
  <c r="B1187" i="1"/>
  <c r="B1209" i="1"/>
  <c r="B1231" i="1"/>
  <c r="B1253" i="1"/>
  <c r="B1275" i="1"/>
  <c r="B1297" i="1"/>
  <c r="B1319" i="1"/>
  <c r="B1341" i="1"/>
  <c r="B1363" i="1"/>
  <c r="B1385" i="1"/>
  <c r="B1407" i="1"/>
  <c r="B1429" i="1"/>
  <c r="B1451" i="1"/>
  <c r="B1473" i="1"/>
  <c r="B1495" i="1"/>
  <c r="B1517" i="1"/>
  <c r="B1539" i="1"/>
  <c r="B1561" i="1"/>
  <c r="B1583" i="1"/>
  <c r="B1605" i="1"/>
  <c r="B1627" i="1"/>
  <c r="B1649" i="1"/>
  <c r="B1671" i="1"/>
  <c r="B1693" i="1"/>
  <c r="B1715" i="1"/>
  <c r="B1737" i="1"/>
  <c r="B1759" i="1"/>
  <c r="B1781" i="1"/>
  <c r="B1803" i="1"/>
  <c r="B1825" i="1"/>
  <c r="B1847" i="1"/>
  <c r="B1869" i="1"/>
  <c r="B1891" i="1"/>
  <c r="B1913" i="1"/>
  <c r="B1935" i="1"/>
  <c r="B1957" i="1"/>
  <c r="B1979" i="1"/>
  <c r="B2001" i="1"/>
  <c r="B2023" i="1"/>
  <c r="B2045" i="1"/>
  <c r="B2067" i="1"/>
  <c r="B2089" i="1"/>
  <c r="B2111" i="1"/>
  <c r="B2133" i="1"/>
  <c r="B2155" i="1"/>
  <c r="B2177" i="1"/>
  <c r="B2199" i="1"/>
  <c r="B2221" i="1"/>
  <c r="B2243" i="1"/>
  <c r="B2265" i="1"/>
  <c r="B2287" i="1"/>
  <c r="B2309" i="1"/>
  <c r="B2331" i="1"/>
  <c r="B2353" i="1"/>
  <c r="B2375" i="1"/>
  <c r="B2397" i="1"/>
  <c r="B2419" i="1"/>
  <c r="B2441" i="1"/>
  <c r="B34" i="1" l="1"/>
  <c r="B33" i="1"/>
  <c r="D45" i="1"/>
  <c r="B56" i="1" l="1"/>
  <c r="B58" i="1"/>
  <c r="B59" i="1"/>
  <c r="B53" i="1"/>
  <c r="B50" i="1"/>
  <c r="B55" i="1"/>
  <c r="B57" i="1"/>
  <c r="D66" i="1"/>
  <c r="B74" i="1" l="1"/>
  <c r="B77" i="1"/>
  <c r="B78" i="1"/>
  <c r="B80" i="1"/>
  <c r="B71" i="1"/>
  <c r="D88" i="1"/>
  <c r="B79" i="1"/>
  <c r="B76" i="1"/>
  <c r="B93" i="1" l="1"/>
  <c r="D110" i="1"/>
  <c r="B96" i="1"/>
  <c r="B98" i="1"/>
  <c r="B100" i="1"/>
  <c r="B101" i="1"/>
  <c r="B99" i="1"/>
  <c r="B102" i="1"/>
  <c r="B123" i="1" l="1"/>
  <c r="B115" i="1"/>
  <c r="D133" i="1"/>
  <c r="B120" i="1"/>
  <c r="B121" i="1"/>
  <c r="B124" i="1"/>
  <c r="B118" i="1"/>
  <c r="B122" i="1"/>
  <c r="B144" i="1" l="1"/>
  <c r="B146" i="1"/>
  <c r="B147" i="1"/>
  <c r="B141" i="1"/>
  <c r="B138" i="1"/>
  <c r="B143" i="1"/>
  <c r="B145" i="1"/>
  <c r="D155" i="1"/>
  <c r="B163" i="1" l="1"/>
  <c r="B166" i="1"/>
  <c r="B167" i="1"/>
  <c r="B169" i="1"/>
  <c r="B160" i="1"/>
  <c r="D177" i="1"/>
  <c r="B165" i="1"/>
  <c r="B168" i="1"/>
  <c r="B182" i="1" l="1"/>
  <c r="D199" i="1"/>
  <c r="B185" i="1"/>
  <c r="B187" i="1"/>
  <c r="B189" i="1"/>
  <c r="B190" i="1"/>
  <c r="B188" i="1"/>
  <c r="B191" i="1"/>
  <c r="B212" i="1" l="1"/>
  <c r="B204" i="1"/>
  <c r="D220" i="1"/>
  <c r="B209" i="1"/>
  <c r="B210" i="1"/>
  <c r="B211" i="1"/>
  <c r="B213" i="1"/>
  <c r="B207" i="1"/>
  <c r="B231" i="1" l="1"/>
  <c r="B233" i="1"/>
  <c r="B234" i="1"/>
  <c r="B228" i="1"/>
  <c r="B225" i="1"/>
  <c r="B230" i="1"/>
  <c r="B232" i="1"/>
  <c r="D242" i="1"/>
  <c r="B250" i="1" l="1"/>
  <c r="B253" i="1"/>
  <c r="B254" i="1"/>
  <c r="B256" i="1"/>
  <c r="B247" i="1"/>
  <c r="D263" i="1"/>
  <c r="B252" i="1"/>
  <c r="B255" i="1"/>
  <c r="B268" i="1" l="1"/>
  <c r="D285" i="1"/>
  <c r="B271" i="1"/>
  <c r="B273" i="1"/>
  <c r="B275" i="1"/>
  <c r="B276" i="1"/>
  <c r="B274" i="1"/>
  <c r="B277" i="1"/>
  <c r="B298" i="1" l="1"/>
  <c r="B290" i="1"/>
  <c r="D306" i="1"/>
  <c r="B295" i="1"/>
  <c r="B296" i="1"/>
  <c r="B293" i="1"/>
  <c r="B297" i="1"/>
  <c r="B299" i="1"/>
  <c r="B317" i="1" l="1"/>
  <c r="B319" i="1"/>
  <c r="B320" i="1"/>
  <c r="B314" i="1"/>
  <c r="B311" i="1"/>
  <c r="B316" i="1"/>
  <c r="B318" i="1"/>
  <c r="D328" i="1"/>
  <c r="B336" i="1" l="1"/>
  <c r="B339" i="1"/>
  <c r="B340" i="1"/>
  <c r="B342" i="1"/>
  <c r="B333" i="1"/>
  <c r="D350" i="1"/>
  <c r="B338" i="1"/>
  <c r="B341" i="1"/>
  <c r="B355" i="1" l="1"/>
  <c r="D373" i="1"/>
  <c r="B358" i="1"/>
  <c r="B360" i="1"/>
  <c r="B362" i="1"/>
  <c r="B363" i="1"/>
  <c r="B361" i="1"/>
  <c r="B364" i="1"/>
  <c r="B386" i="1" l="1"/>
  <c r="B378" i="1"/>
  <c r="D395" i="1"/>
  <c r="B383" i="1"/>
  <c r="B384" i="1"/>
  <c r="B381" i="1"/>
  <c r="B385" i="1"/>
  <c r="B387" i="1"/>
  <c r="B406" i="1" l="1"/>
  <c r="B408" i="1"/>
  <c r="B409" i="1"/>
  <c r="B403" i="1"/>
  <c r="D417" i="1"/>
  <c r="B400" i="1"/>
  <c r="B405" i="1"/>
  <c r="B407" i="1"/>
  <c r="B425" i="1" l="1"/>
  <c r="B428" i="1"/>
  <c r="B429" i="1"/>
  <c r="B431" i="1"/>
  <c r="B422" i="1"/>
  <c r="D439" i="1"/>
  <c r="B427" i="1"/>
  <c r="B430" i="1"/>
  <c r="B444" i="1" l="1"/>
  <c r="D460" i="1"/>
  <c r="B447" i="1"/>
  <c r="B449" i="1"/>
  <c r="B451" i="1"/>
  <c r="B452" i="1"/>
  <c r="B453" i="1"/>
  <c r="B450" i="1"/>
  <c r="B473" i="1" l="1"/>
  <c r="B465" i="1"/>
  <c r="D482" i="1"/>
  <c r="B470" i="1"/>
  <c r="B471" i="1"/>
  <c r="B468" i="1"/>
  <c r="B472" i="1"/>
  <c r="B474" i="1"/>
  <c r="B493" i="1" l="1"/>
  <c r="B495" i="1"/>
  <c r="B496" i="1"/>
  <c r="B490" i="1"/>
  <c r="B494" i="1"/>
  <c r="D503" i="1"/>
  <c r="B487" i="1"/>
  <c r="B492" i="1"/>
  <c r="B511" i="1" l="1"/>
  <c r="B514" i="1"/>
  <c r="B515" i="1"/>
  <c r="B517" i="1"/>
  <c r="B508" i="1"/>
  <c r="D525" i="1"/>
  <c r="B513" i="1"/>
  <c r="B516" i="1"/>
  <c r="B530" i="1" l="1"/>
  <c r="D546" i="1"/>
  <c r="B533" i="1"/>
  <c r="B535" i="1"/>
  <c r="B537" i="1"/>
  <c r="B538" i="1"/>
  <c r="B536" i="1"/>
  <c r="B539" i="1"/>
  <c r="B559" i="1" l="1"/>
  <c r="B551" i="1"/>
  <c r="D568" i="1"/>
  <c r="B556" i="1"/>
  <c r="B557" i="1"/>
  <c r="B554" i="1"/>
  <c r="B558" i="1"/>
  <c r="B560" i="1"/>
  <c r="B579" i="1" l="1"/>
  <c r="B581" i="1"/>
  <c r="B582" i="1"/>
  <c r="B576" i="1"/>
  <c r="B578" i="1"/>
  <c r="B580" i="1"/>
  <c r="D590" i="1"/>
  <c r="B573" i="1"/>
  <c r="B598" i="1" l="1"/>
  <c r="B601" i="1"/>
  <c r="B602" i="1"/>
  <c r="B604" i="1"/>
  <c r="B595" i="1"/>
  <c r="D613" i="1"/>
  <c r="B600" i="1"/>
  <c r="B603" i="1"/>
  <c r="B618" i="1" l="1"/>
  <c r="D635" i="1"/>
  <c r="B621" i="1"/>
  <c r="B623" i="1"/>
  <c r="B625" i="1"/>
  <c r="B626" i="1"/>
  <c r="B624" i="1"/>
  <c r="B627" i="1"/>
  <c r="B648" i="1" l="1"/>
  <c r="B640" i="1"/>
  <c r="D657" i="1"/>
  <c r="B645" i="1"/>
  <c r="B646" i="1"/>
  <c r="B643" i="1"/>
  <c r="B647" i="1"/>
  <c r="B649" i="1"/>
  <c r="B668" i="1" l="1"/>
  <c r="B670" i="1"/>
  <c r="B671" i="1"/>
  <c r="B665" i="1"/>
  <c r="B662" i="1"/>
  <c r="B667" i="1"/>
  <c r="B669" i="1"/>
  <c r="D679" i="1"/>
  <c r="B687" i="1" l="1"/>
  <c r="B690" i="1"/>
  <c r="B691" i="1"/>
  <c r="B693" i="1"/>
  <c r="B684" i="1"/>
  <c r="D700" i="1"/>
  <c r="B689" i="1"/>
  <c r="B692" i="1"/>
  <c r="B705" i="1" l="1"/>
  <c r="D722" i="1"/>
  <c r="B708" i="1"/>
  <c r="B710" i="1"/>
  <c r="B712" i="1"/>
  <c r="B713" i="1"/>
  <c r="B711" i="1"/>
  <c r="B714" i="1"/>
  <c r="B735" i="1" l="1"/>
  <c r="B727" i="1"/>
  <c r="D743" i="1"/>
  <c r="B732" i="1"/>
  <c r="B733" i="1"/>
  <c r="B730" i="1"/>
  <c r="B734" i="1"/>
  <c r="B736" i="1"/>
  <c r="B754" i="1" l="1"/>
  <c r="B756" i="1"/>
  <c r="B757" i="1"/>
  <c r="B751" i="1"/>
  <c r="B748" i="1"/>
  <c r="B753" i="1"/>
  <c r="B755" i="1"/>
  <c r="D765" i="1"/>
  <c r="B773" i="1" l="1"/>
  <c r="B776" i="1"/>
  <c r="B777" i="1"/>
  <c r="B770" i="1"/>
  <c r="D786" i="1"/>
  <c r="B775" i="1"/>
  <c r="B778" i="1"/>
  <c r="B779" i="1"/>
  <c r="B791" i="1" l="1"/>
  <c r="D808" i="1"/>
  <c r="B794" i="1"/>
  <c r="B796" i="1"/>
  <c r="B799" i="1"/>
  <c r="B797" i="1"/>
  <c r="B798" i="1"/>
  <c r="B800" i="1"/>
  <c r="B821" i="1" l="1"/>
  <c r="B813" i="1"/>
  <c r="D830" i="1"/>
  <c r="B819" i="1"/>
  <c r="B816" i="1"/>
  <c r="B818" i="1"/>
  <c r="B820" i="1"/>
  <c r="B822" i="1"/>
  <c r="B841" i="1" l="1"/>
  <c r="B843" i="1"/>
  <c r="B844" i="1"/>
  <c r="B838" i="1"/>
  <c r="B840" i="1"/>
  <c r="B842" i="1"/>
  <c r="D853" i="1"/>
  <c r="B835" i="1"/>
  <c r="B863" i="1" l="1"/>
  <c r="B865" i="1"/>
  <c r="B866" i="1"/>
  <c r="B858" i="1"/>
  <c r="B861" i="1"/>
  <c r="B864" i="1"/>
  <c r="B867" i="1"/>
  <c r="D875" i="1"/>
  <c r="B883" i="1" l="1"/>
  <c r="B886" i="1"/>
  <c r="B887" i="1"/>
  <c r="D897" i="1"/>
  <c r="B880" i="1"/>
  <c r="B885" i="1"/>
  <c r="B888" i="1"/>
  <c r="B889" i="1"/>
  <c r="B902" i="1" l="1"/>
  <c r="B907" i="1"/>
  <c r="B908" i="1"/>
  <c r="B911" i="1"/>
  <c r="B910" i="1"/>
  <c r="D919" i="1"/>
  <c r="B905" i="1"/>
  <c r="B909" i="1"/>
  <c r="B927" i="1" l="1"/>
  <c r="B929" i="1"/>
  <c r="B932" i="1"/>
  <c r="B924" i="1"/>
  <c r="B930" i="1"/>
  <c r="B931" i="1"/>
  <c r="B933" i="1"/>
  <c r="D941" i="1"/>
  <c r="B946" i="1" l="1"/>
  <c r="B949" i="1"/>
  <c r="B953" i="1"/>
  <c r="B951" i="1"/>
  <c r="B952" i="1"/>
  <c r="B954" i="1"/>
  <c r="B955" i="1"/>
  <c r="D963" i="1"/>
  <c r="D985" i="1" l="1"/>
  <c r="B968" i="1"/>
  <c r="B974" i="1"/>
  <c r="B973" i="1"/>
  <c r="B975" i="1"/>
  <c r="B976" i="1"/>
  <c r="B977" i="1"/>
  <c r="B971" i="1"/>
  <c r="B999" i="1" l="1"/>
  <c r="D1007" i="1"/>
  <c r="B995" i="1"/>
  <c r="B997" i="1"/>
  <c r="B998" i="1"/>
  <c r="B990" i="1"/>
  <c r="B993" i="1"/>
  <c r="B996" i="1"/>
  <c r="B1020" i="1" l="1"/>
  <c r="B1021" i="1"/>
  <c r="B1015" i="1"/>
  <c r="B1012" i="1"/>
  <c r="B1017" i="1"/>
  <c r="B1018" i="1"/>
  <c r="B1019" i="1"/>
  <c r="D1029" i="1"/>
  <c r="B1041" i="1" l="1"/>
  <c r="B1042" i="1"/>
  <c r="B1034" i="1"/>
  <c r="B1037" i="1"/>
  <c r="B1039" i="1"/>
  <c r="B1040" i="1"/>
  <c r="B1043" i="1"/>
  <c r="D1051" i="1"/>
  <c r="B1062" i="1" l="1"/>
  <c r="B1063" i="1"/>
  <c r="D1073" i="1"/>
  <c r="B1059" i="1"/>
  <c r="B1061" i="1"/>
  <c r="B1064" i="1"/>
  <c r="B1065" i="1"/>
  <c r="B1056" i="1"/>
  <c r="B1083" i="1" l="1"/>
  <c r="B1084" i="1"/>
  <c r="B1087" i="1"/>
  <c r="B1086" i="1"/>
  <c r="D1095" i="1"/>
  <c r="B1078" i="1"/>
  <c r="B1081" i="1"/>
  <c r="B1085" i="1"/>
  <c r="B1103" i="1" l="1"/>
  <c r="B1105" i="1"/>
  <c r="B1108" i="1"/>
  <c r="B1100" i="1"/>
  <c r="B1106" i="1"/>
  <c r="B1107" i="1"/>
  <c r="B1109" i="1"/>
  <c r="D1117" i="1"/>
  <c r="B1122" i="1" l="1"/>
  <c r="B1125" i="1"/>
  <c r="B1129" i="1"/>
  <c r="B1127" i="1"/>
  <c r="B1128" i="1"/>
  <c r="B1130" i="1"/>
  <c r="B1131" i="1"/>
  <c r="D1139" i="1"/>
  <c r="D1161" i="1" l="1"/>
  <c r="B1150" i="1"/>
  <c r="B1147" i="1"/>
  <c r="B1149" i="1"/>
  <c r="B1151" i="1"/>
  <c r="B1152" i="1"/>
  <c r="B1153" i="1"/>
  <c r="B1144" i="1"/>
  <c r="B1175" i="1" l="1"/>
  <c r="B1171" i="1"/>
  <c r="B1172" i="1"/>
  <c r="B1173" i="1"/>
  <c r="B1174" i="1"/>
  <c r="D1183" i="1"/>
  <c r="B1166" i="1"/>
  <c r="B1169" i="1"/>
  <c r="B1196" i="1" l="1"/>
  <c r="B1191" i="1"/>
  <c r="B1195" i="1"/>
  <c r="B1197" i="1"/>
  <c r="D1205" i="1"/>
  <c r="B1188" i="1"/>
  <c r="B1193" i="1"/>
  <c r="B1194" i="1"/>
  <c r="B1217" i="1" l="1"/>
  <c r="B1210" i="1"/>
  <c r="B1219" i="1"/>
  <c r="D1227" i="1"/>
  <c r="B1213" i="1"/>
  <c r="B1215" i="1"/>
  <c r="B1216" i="1"/>
  <c r="B1218" i="1"/>
  <c r="B1238" i="1" l="1"/>
  <c r="D1249" i="1"/>
  <c r="B1241" i="1"/>
  <c r="B1232" i="1"/>
  <c r="B1235" i="1"/>
  <c r="B1237" i="1"/>
  <c r="B1239" i="1"/>
  <c r="B1240" i="1"/>
  <c r="B1259" i="1" l="1"/>
  <c r="B1263" i="1"/>
  <c r="B1254" i="1"/>
  <c r="B1257" i="1"/>
  <c r="B1260" i="1"/>
  <c r="B1261" i="1"/>
  <c r="B1262" i="1"/>
  <c r="D1271" i="1"/>
  <c r="B1279" i="1" l="1"/>
  <c r="B1284" i="1"/>
  <c r="B1276" i="1"/>
  <c r="B1281" i="1"/>
  <c r="B1282" i="1"/>
  <c r="B1283" i="1"/>
  <c r="B1285" i="1"/>
  <c r="D1293" i="1"/>
  <c r="B1298" i="1" l="1"/>
  <c r="B1305" i="1"/>
  <c r="B1301" i="1"/>
  <c r="B1303" i="1"/>
  <c r="B1304" i="1"/>
  <c r="B1306" i="1"/>
  <c r="B1307" i="1"/>
  <c r="D1315" i="1"/>
  <c r="D1337" i="1" l="1"/>
  <c r="B1326" i="1"/>
  <c r="B1323" i="1"/>
  <c r="B1325" i="1"/>
  <c r="B1327" i="1"/>
  <c r="B1328" i="1"/>
  <c r="B1329" i="1"/>
  <c r="B1320" i="1"/>
  <c r="B1351" i="1" l="1"/>
  <c r="B1347" i="1"/>
  <c r="B1348" i="1"/>
  <c r="B1349" i="1"/>
  <c r="B1350" i="1"/>
  <c r="D1359" i="1"/>
  <c r="B1342" i="1"/>
  <c r="B1345" i="1"/>
  <c r="B1372" i="1" l="1"/>
  <c r="B1367" i="1"/>
  <c r="B1371" i="1"/>
  <c r="B1373" i="1"/>
  <c r="D1381" i="1"/>
  <c r="B1364" i="1"/>
  <c r="B1369" i="1"/>
  <c r="B1370" i="1"/>
  <c r="B1393" i="1" l="1"/>
  <c r="B1386" i="1"/>
  <c r="B1395" i="1"/>
  <c r="D1403" i="1"/>
  <c r="B1389" i="1"/>
  <c r="B1391" i="1"/>
  <c r="B1392" i="1"/>
  <c r="B1394" i="1"/>
  <c r="B1414" i="1" l="1"/>
  <c r="D1425" i="1"/>
  <c r="B1417" i="1"/>
  <c r="B1408" i="1"/>
  <c r="B1411" i="1"/>
  <c r="B1413" i="1"/>
  <c r="B1415" i="1"/>
  <c r="B1416" i="1"/>
  <c r="B1435" i="1" l="1"/>
  <c r="B1439" i="1"/>
  <c r="B1430" i="1"/>
  <c r="B1433" i="1"/>
  <c r="B1436" i="1"/>
  <c r="B1437" i="1"/>
  <c r="B1438" i="1"/>
  <c r="D1447" i="1"/>
  <c r="B1455" i="1" l="1"/>
  <c r="B1460" i="1"/>
  <c r="B1452" i="1"/>
  <c r="B1457" i="1"/>
  <c r="B1458" i="1"/>
  <c r="B1459" i="1"/>
  <c r="B1461" i="1"/>
  <c r="D1469" i="1"/>
  <c r="B1474" i="1" l="1"/>
  <c r="B1481" i="1"/>
  <c r="B1477" i="1"/>
  <c r="B1479" i="1"/>
  <c r="B1480" i="1"/>
  <c r="B1482" i="1"/>
  <c r="B1483" i="1"/>
  <c r="D1491" i="1"/>
  <c r="D1513" i="1" l="1"/>
  <c r="B1502" i="1"/>
  <c r="B1499" i="1"/>
  <c r="B1501" i="1"/>
  <c r="B1503" i="1"/>
  <c r="B1504" i="1"/>
  <c r="B1505" i="1"/>
  <c r="B1496" i="1"/>
  <c r="B1527" i="1" l="1"/>
  <c r="B1523" i="1"/>
  <c r="B1524" i="1"/>
  <c r="B1525" i="1"/>
  <c r="B1526" i="1"/>
  <c r="D1535" i="1"/>
  <c r="B1518" i="1"/>
  <c r="B1521" i="1"/>
  <c r="B1548" i="1" l="1"/>
  <c r="B1543" i="1"/>
  <c r="B1547" i="1"/>
  <c r="B1549" i="1"/>
  <c r="D1557" i="1"/>
  <c r="B1540" i="1"/>
  <c r="B1545" i="1"/>
  <c r="B1546" i="1"/>
  <c r="B1569" i="1" l="1"/>
  <c r="B1562" i="1"/>
  <c r="B1571" i="1"/>
  <c r="D1579" i="1"/>
  <c r="B1565" i="1"/>
  <c r="B1567" i="1"/>
  <c r="B1568" i="1"/>
  <c r="B1570" i="1"/>
  <c r="B1590" i="1" l="1"/>
  <c r="D1601" i="1"/>
  <c r="B1593" i="1"/>
  <c r="B1584" i="1"/>
  <c r="B1587" i="1"/>
  <c r="B1589" i="1"/>
  <c r="B1591" i="1"/>
  <c r="B1592" i="1"/>
  <c r="B1611" i="1" l="1"/>
  <c r="B1615" i="1"/>
  <c r="B1606" i="1"/>
  <c r="B1609" i="1"/>
  <c r="B1612" i="1"/>
  <c r="B1613" i="1"/>
  <c r="B1614" i="1"/>
  <c r="D1623" i="1"/>
  <c r="B1631" i="1" l="1"/>
  <c r="B1636" i="1"/>
  <c r="B1628" i="1"/>
  <c r="B1633" i="1"/>
  <c r="B1634" i="1"/>
  <c r="B1635" i="1"/>
  <c r="B1637" i="1"/>
  <c r="D1645" i="1"/>
  <c r="B1650" i="1" l="1"/>
  <c r="B1657" i="1"/>
  <c r="B1653" i="1"/>
  <c r="B1655" i="1"/>
  <c r="B1656" i="1"/>
  <c r="B1658" i="1"/>
  <c r="B1659" i="1"/>
  <c r="D1667" i="1"/>
  <c r="B1678" i="1" l="1"/>
  <c r="B1677" i="1"/>
  <c r="B1679" i="1"/>
  <c r="B1680" i="1"/>
  <c r="B1681" i="1"/>
  <c r="D1689" i="1"/>
  <c r="B1672" i="1"/>
  <c r="B1675" i="1"/>
  <c r="B1699" i="1" l="1"/>
  <c r="B1700" i="1"/>
  <c r="B1701" i="1"/>
  <c r="B1702" i="1"/>
  <c r="B1703" i="1"/>
  <c r="D1711" i="1"/>
  <c r="B1694" i="1"/>
  <c r="B1697" i="1"/>
  <c r="B1719" i="1" l="1"/>
  <c r="B1721" i="1"/>
  <c r="B1722" i="1"/>
  <c r="B1723" i="1"/>
  <c r="B1724" i="1"/>
  <c r="B1725" i="1"/>
  <c r="D1733" i="1"/>
  <c r="B1716" i="1"/>
  <c r="B1738" i="1" l="1"/>
  <c r="B1741" i="1"/>
  <c r="B1743" i="1"/>
  <c r="B1744" i="1"/>
  <c r="B1745" i="1"/>
  <c r="B1746" i="1"/>
  <c r="B1747" i="1"/>
  <c r="D1755" i="1"/>
  <c r="D1777" i="1" l="1"/>
  <c r="B1760" i="1"/>
  <c r="B1763" i="1"/>
  <c r="B1765" i="1"/>
  <c r="B1766" i="1"/>
  <c r="B1767" i="1"/>
  <c r="B1768" i="1"/>
  <c r="B1769" i="1"/>
  <c r="B1791" i="1" l="1"/>
  <c r="D1799" i="1"/>
  <c r="B1782" i="1"/>
  <c r="B1785" i="1"/>
  <c r="B1787" i="1"/>
  <c r="B1788" i="1"/>
  <c r="B1790" i="1"/>
  <c r="B1789" i="1"/>
  <c r="B1813" i="1" l="1"/>
  <c r="D1821" i="1"/>
  <c r="B1804" i="1"/>
  <c r="B1807" i="1"/>
  <c r="B1809" i="1"/>
  <c r="B1810" i="1"/>
  <c r="B1811" i="1"/>
  <c r="B1812" i="1"/>
  <c r="B1834" i="1" l="1"/>
  <c r="B1835" i="1"/>
  <c r="D1843" i="1"/>
  <c r="B1826" i="1"/>
  <c r="B1829" i="1"/>
  <c r="B1833" i="1"/>
  <c r="B1832" i="1"/>
  <c r="B1831" i="1"/>
  <c r="B1855" i="1" l="1"/>
  <c r="B1856" i="1"/>
  <c r="B1857" i="1"/>
  <c r="D1865" i="1"/>
  <c r="B1848" i="1"/>
  <c r="B1853" i="1"/>
  <c r="B1851" i="1"/>
  <c r="B1854" i="1"/>
  <c r="B1876" i="1" l="1"/>
  <c r="B1877" i="1"/>
  <c r="B1879" i="1"/>
  <c r="D1887" i="1"/>
  <c r="B1875" i="1"/>
  <c r="B1873" i="1"/>
  <c r="B1878" i="1"/>
  <c r="B1870" i="1"/>
  <c r="B1897" i="1" l="1"/>
  <c r="B1898" i="1"/>
  <c r="B1900" i="1"/>
  <c r="B1901" i="1"/>
  <c r="B1892" i="1"/>
  <c r="B1895" i="1"/>
  <c r="B1899" i="1"/>
  <c r="D1909" i="1"/>
  <c r="B1917" i="1" l="1"/>
  <c r="B1919" i="1"/>
  <c r="B1921" i="1"/>
  <c r="B1922" i="1"/>
  <c r="B1914" i="1"/>
  <c r="B1920" i="1"/>
  <c r="B1923" i="1"/>
  <c r="D1931" i="1"/>
  <c r="B1936" i="1" l="1"/>
  <c r="B1939" i="1"/>
  <c r="B1942" i="1"/>
  <c r="B1943" i="1"/>
  <c r="D1953" i="1"/>
  <c r="B1945" i="1"/>
  <c r="B1941" i="1"/>
  <c r="B1944" i="1"/>
  <c r="D1975" i="1" l="1"/>
  <c r="B1958" i="1"/>
  <c r="B1963" i="1"/>
  <c r="B1964" i="1"/>
  <c r="B1965" i="1"/>
  <c r="B1961" i="1"/>
  <c r="B1966" i="1"/>
  <c r="B1967" i="1"/>
  <c r="B1989" i="1" l="1"/>
  <c r="D1997" i="1"/>
  <c r="B1983" i="1"/>
  <c r="B1985" i="1"/>
  <c r="B1986" i="1"/>
  <c r="B1987" i="1"/>
  <c r="B1988" i="1"/>
  <c r="B1980" i="1"/>
  <c r="B2010" i="1" l="1"/>
  <c r="B2011" i="1"/>
  <c r="B2002" i="1"/>
  <c r="B2005" i="1"/>
  <c r="D2019" i="1"/>
  <c r="B2007" i="1"/>
  <c r="B2008" i="1"/>
  <c r="B2009" i="1"/>
  <c r="B2031" i="1" l="1"/>
  <c r="B2032" i="1"/>
  <c r="D2041" i="1"/>
  <c r="B2024" i="1"/>
  <c r="B2030" i="1"/>
  <c r="B2027" i="1"/>
  <c r="B2029" i="1"/>
  <c r="B2033" i="1"/>
  <c r="B2052" i="1" l="1"/>
  <c r="B2053" i="1"/>
  <c r="B2055" i="1"/>
  <c r="D2063" i="1"/>
  <c r="B2051" i="1"/>
  <c r="B2054" i="1"/>
  <c r="B2049" i="1"/>
  <c r="B2046" i="1"/>
  <c r="B2073" i="1" l="1"/>
  <c r="B2074" i="1"/>
  <c r="B2076" i="1"/>
  <c r="B2077" i="1"/>
  <c r="B2068" i="1"/>
  <c r="B2071" i="1"/>
  <c r="B2075" i="1"/>
  <c r="D2085" i="1"/>
  <c r="B2093" i="1" l="1"/>
  <c r="B2095" i="1"/>
  <c r="B2097" i="1"/>
  <c r="B2098" i="1"/>
  <c r="B2090" i="1"/>
  <c r="B2096" i="1"/>
  <c r="B2099" i="1"/>
  <c r="D2107" i="1"/>
  <c r="B2112" i="1" l="1"/>
  <c r="B2115" i="1"/>
  <c r="B2118" i="1"/>
  <c r="B2119" i="1"/>
  <c r="D2129" i="1"/>
  <c r="B2121" i="1"/>
  <c r="B2117" i="1"/>
  <c r="B2120" i="1"/>
  <c r="D2151" i="1" l="1"/>
  <c r="B2134" i="1"/>
  <c r="B2139" i="1"/>
  <c r="B2140" i="1"/>
  <c r="B2141" i="1"/>
  <c r="B2137" i="1"/>
  <c r="B2142" i="1"/>
  <c r="B2143" i="1"/>
  <c r="B2165" i="1" l="1"/>
  <c r="D2173" i="1"/>
  <c r="B2159" i="1"/>
  <c r="B2161" i="1"/>
  <c r="B2162" i="1"/>
  <c r="B2163" i="1"/>
  <c r="B2164" i="1"/>
  <c r="B2156" i="1"/>
  <c r="B2186" i="1" l="1"/>
  <c r="B2178" i="1"/>
  <c r="B2181" i="1"/>
  <c r="D2195" i="1"/>
  <c r="B2187" i="1"/>
  <c r="B2183" i="1"/>
  <c r="B2184" i="1"/>
  <c r="B2185" i="1"/>
  <c r="B2207" i="1" l="1"/>
  <c r="D2217" i="1"/>
  <c r="B2200" i="1"/>
  <c r="B2205" i="1"/>
  <c r="B2203" i="1"/>
  <c r="B2206" i="1"/>
  <c r="B2208" i="1"/>
  <c r="B2209" i="1"/>
  <c r="B2228" i="1" l="1"/>
  <c r="B2231" i="1"/>
  <c r="D2239" i="1"/>
  <c r="B2222" i="1"/>
  <c r="B2229" i="1"/>
  <c r="B2225" i="1"/>
  <c r="B2227" i="1"/>
  <c r="B2230" i="1"/>
  <c r="B2249" i="1" l="1"/>
  <c r="B2252" i="1"/>
  <c r="B2253" i="1"/>
  <c r="B2250" i="1"/>
  <c r="B2251" i="1"/>
  <c r="D2261" i="1"/>
  <c r="B2247" i="1"/>
  <c r="B2244" i="1"/>
  <c r="B2269" i="1" l="1"/>
  <c r="B2273" i="1"/>
  <c r="B2274" i="1"/>
  <c r="D2283" i="1"/>
  <c r="B2275" i="1"/>
  <c r="B2266" i="1"/>
  <c r="B2271" i="1"/>
  <c r="B2272" i="1"/>
  <c r="B2288" i="1" l="1"/>
  <c r="B2294" i="1"/>
  <c r="B2295" i="1"/>
  <c r="B2293" i="1"/>
  <c r="B2291" i="1"/>
  <c r="B2296" i="1"/>
  <c r="B2297" i="1"/>
  <c r="D2305" i="1"/>
  <c r="D2327" i="1" l="1"/>
  <c r="B2315" i="1"/>
  <c r="B2316" i="1"/>
  <c r="B2310" i="1"/>
  <c r="B2317" i="1"/>
  <c r="B2318" i="1"/>
  <c r="B2313" i="1"/>
  <c r="B2319" i="1"/>
  <c r="B2341" i="1" l="1"/>
  <c r="B2335" i="1"/>
  <c r="B2337" i="1"/>
  <c r="B2339" i="1"/>
  <c r="B2340" i="1"/>
  <c r="D2349" i="1"/>
  <c r="B2338" i="1"/>
  <c r="B2332" i="1"/>
  <c r="B2362" i="1" l="1"/>
  <c r="B2354" i="1"/>
  <c r="B2357" i="1"/>
  <c r="D2371" i="1"/>
  <c r="B2363" i="1"/>
  <c r="B2359" i="1"/>
  <c r="B2360" i="1"/>
  <c r="B2361" i="1"/>
  <c r="B2383" i="1" l="1"/>
  <c r="D2393" i="1"/>
  <c r="B2376" i="1"/>
  <c r="B2381" i="1"/>
  <c r="B2379" i="1"/>
  <c r="B2382" i="1"/>
  <c r="B2384" i="1"/>
  <c r="B2385" i="1"/>
  <c r="B2404" i="1" l="1"/>
  <c r="B2407" i="1"/>
  <c r="D2415" i="1"/>
  <c r="B2398" i="1"/>
  <c r="B2405" i="1"/>
  <c r="B2401" i="1"/>
  <c r="B2403" i="1"/>
  <c r="B2406" i="1"/>
  <c r="B2425" i="1" l="1"/>
  <c r="B2428" i="1"/>
  <c r="B2429" i="1"/>
  <c r="B2426" i="1"/>
  <c r="B2427" i="1"/>
  <c r="D2437" i="1"/>
  <c r="B2423" i="1"/>
  <c r="B2420" i="1"/>
  <c r="B2445" i="1" l="1"/>
  <c r="B2449" i="1"/>
  <c r="B2450" i="1"/>
  <c r="B2451" i="1"/>
  <c r="B2442" i="1"/>
  <c r="B2447" i="1"/>
  <c r="B2448" i="1"/>
</calcChain>
</file>

<file path=xl/sharedStrings.xml><?xml version="1.0" encoding="utf-8"?>
<sst xmlns="http://schemas.openxmlformats.org/spreadsheetml/2006/main" count="1792" uniqueCount="16">
  <si>
    <t>Initials Of Employer Or His Representative</t>
  </si>
  <si>
    <t>Net amount of wages paid</t>
  </si>
  <si>
    <t>Deduction ,of any</t>
  </si>
  <si>
    <t>Gross wages payable</t>
  </si>
  <si>
    <t>Amount of overtime wages</t>
  </si>
  <si>
    <t>Rate of daily wages / piece rate</t>
  </si>
  <si>
    <t>No of units worked in case of piece rate workers</t>
  </si>
  <si>
    <t>No of days worked</t>
  </si>
  <si>
    <t>For the Week/Forthnight/Month/</t>
  </si>
  <si>
    <t>CIVIL WORK, LAKSAR, HARIDWAR</t>
  </si>
  <si>
    <t>Nature and location of work:</t>
  </si>
  <si>
    <t>Name and Father’s/husband’s name of the workman :</t>
  </si>
  <si>
    <t>Name and address of Contractor</t>
  </si>
  <si>
    <t>WAGE SLIP</t>
  </si>
  <si>
    <t>[ See rule 78 (2) (A) OF CONTRACT LABOUR]
(Regulation &amp; Abolition) Utter Pradesh 1970)</t>
  </si>
  <si>
    <t>FORM XIX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</si>
</sst>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</font>
    <font>
      <sz val="10"/>
      <name val="Cambria"/>
      <family val="1"/>
    </font>
    <font>
      <sz val="9"/>
      <name val="Cambria"/>
      <family val="1"/>
    </font>
    <font>
      <b/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2" borderId="0" xfId="1" applyFont="1" applyFill="1"/>
    <xf numFmtId="0" fontId="2" fillId="2" borderId="0" xfId="1" applyFont="1" applyFill="1" applyAlignment="1">
      <alignment horizontal="left"/>
    </xf>
    <xf numFmtId="0" fontId="2" fillId="2" borderId="1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0" fontId="2" fillId="2" borderId="3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2" fillId="2" borderId="5" xfId="1" applyFont="1" applyFill="1" applyBorder="1" applyAlignment="1">
      <alignment horizontal="left"/>
    </xf>
    <xf numFmtId="1" fontId="2" fillId="2" borderId="5" xfId="1" applyNumberFormat="1" applyFont="1" applyFill="1" applyBorder="1" applyAlignment="1">
      <alignment horizontal="left"/>
    </xf>
    <xf numFmtId="17" fontId="2" fillId="2" borderId="5" xfId="1" applyNumberFormat="1" applyFont="1" applyFill="1" applyBorder="1" applyAlignment="1">
      <alignment horizontal="left"/>
    </xf>
    <xf numFmtId="14" fontId="3" fillId="2" borderId="5" xfId="0" applyNumberFormat="1" applyFont="1" applyFill="1" applyBorder="1" applyAlignment="1">
      <alignment horizontal="left"/>
    </xf>
    <xf numFmtId="14" fontId="2" fillId="2" borderId="5" xfId="1" applyNumberFormat="1" applyFont="1" applyFill="1" applyBorder="1" applyAlignment="1">
      <alignment horizontal="left" vertical="center" wrapText="1"/>
    </xf>
    <xf numFmtId="0" fontId="2" fillId="2" borderId="5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/>
    </xf>
    <xf numFmtId="0" fontId="4" fillId="2" borderId="7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 textRotation="90"/>
    </xf>
    <xf numFmtId="14" fontId="3" fillId="2" borderId="0" xfId="0" applyNumberFormat="1" applyFont="1" applyFill="1" applyAlignment="1">
      <alignment horizontal="left"/>
    </xf>
  </cellXfs>
  <cellStyles count="2">
    <cellStyle name="Normal" xfId="0" builtinId="0"/>
    <cellStyle name="Normal_Form XIX Wage Slips" xfId="1" xr:uid="{E8A806C4-01AE-4C7D-9B88-FEE056B38165}"/>
  </cellStyles>
  <dxfs count="188"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15.%20Sorya%20Wages%20Sheet%20Dec%2025.xls" TargetMode="External"/><Relationship Id="rId1" Type="http://schemas.openxmlformats.org/officeDocument/2006/relationships/externalLinkPath" Target="/Users/Dell/Downloads/15.%20Sorya%20Wages%20Sheet%20Dec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 XIII"/>
      <sheetName val="Form XIV Emp card"/>
      <sheetName val=" Form XVI"/>
      <sheetName val=" Wages Sheet FORM XVII"/>
      <sheetName val="FORM XX"/>
      <sheetName val="Form XXI"/>
      <sheetName val="Form XXII"/>
      <sheetName val=" Over Time FORM XXIII"/>
    </sheetNames>
    <sheetDataSet>
      <sheetData sheetId="0">
        <row r="6">
          <cell r="F6" t="str">
            <v>SORYE CONTRUCTION</v>
          </cell>
        </row>
      </sheetData>
      <sheetData sheetId="1"/>
      <sheetData sheetId="2"/>
      <sheetData sheetId="3">
        <row r="11">
          <cell r="A11">
            <v>1</v>
          </cell>
          <cell r="B11">
            <v>72222011</v>
          </cell>
          <cell r="C11" t="str">
            <v>SOHANVEER</v>
          </cell>
          <cell r="D11" t="str">
            <v>ASHARAM</v>
          </cell>
          <cell r="E11" t="str">
            <v/>
          </cell>
          <cell r="F11" t="str">
            <v>6111169980</v>
          </cell>
          <cell r="G11" t="str">
            <v>HELPER</v>
          </cell>
          <cell r="H11">
            <v>23</v>
          </cell>
          <cell r="I11">
            <v>0</v>
          </cell>
          <cell r="J11">
            <v>0</v>
          </cell>
          <cell r="K11">
            <v>23</v>
          </cell>
          <cell r="L11">
            <v>480.77</v>
          </cell>
          <cell r="M11">
            <v>11057.71</v>
          </cell>
          <cell r="N11">
            <v>8</v>
          </cell>
          <cell r="O11">
            <v>481</v>
          </cell>
          <cell r="P11">
            <v>11538.71</v>
          </cell>
          <cell r="Q11">
            <v>1327</v>
          </cell>
          <cell r="R11">
            <v>87</v>
          </cell>
          <cell r="T11">
            <v>1414</v>
          </cell>
          <cell r="U11">
            <v>10124.709999999999</v>
          </cell>
        </row>
        <row r="12">
          <cell r="A12">
            <v>2</v>
          </cell>
          <cell r="B12">
            <v>72222024</v>
          </cell>
          <cell r="C12" t="str">
            <v>FURKAN</v>
          </cell>
          <cell r="D12" t="str">
            <v>MEERU</v>
          </cell>
          <cell r="E12" t="str">
            <v>101207391229</v>
          </cell>
          <cell r="F12" t="str">
            <v>6111159970</v>
          </cell>
          <cell r="G12" t="str">
            <v>HELPER</v>
          </cell>
          <cell r="H12">
            <v>27</v>
          </cell>
          <cell r="I12">
            <v>0</v>
          </cell>
          <cell r="J12">
            <v>0</v>
          </cell>
          <cell r="K12">
            <v>27</v>
          </cell>
          <cell r="L12">
            <v>480.77</v>
          </cell>
          <cell r="M12">
            <v>12980.789999999999</v>
          </cell>
          <cell r="N12">
            <v>2</v>
          </cell>
          <cell r="O12">
            <v>120</v>
          </cell>
          <cell r="P12">
            <v>13100.789999999999</v>
          </cell>
          <cell r="Q12">
            <v>1558</v>
          </cell>
          <cell r="R12">
            <v>98</v>
          </cell>
          <cell r="S12">
            <v>1500</v>
          </cell>
          <cell r="T12">
            <v>3156</v>
          </cell>
          <cell r="U12">
            <v>9944.7899999999991</v>
          </cell>
        </row>
        <row r="13">
          <cell r="A13">
            <v>3</v>
          </cell>
          <cell r="B13">
            <v>72222032</v>
          </cell>
          <cell r="C13" t="str">
            <v>SOMIT KUMAR</v>
          </cell>
          <cell r="D13" t="str">
            <v>KALU RAM</v>
          </cell>
          <cell r="E13" t="str">
            <v/>
          </cell>
          <cell r="F13" t="str">
            <v/>
          </cell>
          <cell r="G13" t="str">
            <v>HELPER</v>
          </cell>
          <cell r="H13">
            <v>25</v>
          </cell>
          <cell r="I13">
            <v>0</v>
          </cell>
          <cell r="J13">
            <v>0</v>
          </cell>
          <cell r="K13">
            <v>25</v>
          </cell>
          <cell r="L13">
            <v>480.77</v>
          </cell>
          <cell r="M13">
            <v>12019.25</v>
          </cell>
          <cell r="N13">
            <v>30</v>
          </cell>
          <cell r="O13">
            <v>1803</v>
          </cell>
          <cell r="P13">
            <v>13822.25</v>
          </cell>
          <cell r="Q13">
            <v>1442</v>
          </cell>
          <cell r="R13">
            <v>104</v>
          </cell>
          <cell r="S13">
            <v>700</v>
          </cell>
          <cell r="T13">
            <v>2246</v>
          </cell>
          <cell r="U13">
            <v>11576.25</v>
          </cell>
        </row>
        <row r="14">
          <cell r="A14">
            <v>4</v>
          </cell>
          <cell r="B14">
            <v>72222118</v>
          </cell>
          <cell r="C14" t="str">
            <v>PAHAL SINGH</v>
          </cell>
          <cell r="D14" t="str">
            <v>SHUKHPAL</v>
          </cell>
          <cell r="E14" t="str">
            <v>101201585061</v>
          </cell>
          <cell r="F14" t="str">
            <v>61122713540</v>
          </cell>
          <cell r="G14" t="str">
            <v>HELPER</v>
          </cell>
          <cell r="H14">
            <v>24</v>
          </cell>
          <cell r="I14">
            <v>0</v>
          </cell>
          <cell r="J14">
            <v>0</v>
          </cell>
          <cell r="K14">
            <v>24</v>
          </cell>
          <cell r="L14">
            <v>480.77</v>
          </cell>
          <cell r="M14">
            <v>11538.48</v>
          </cell>
          <cell r="N14">
            <v>33</v>
          </cell>
          <cell r="O14">
            <v>1983</v>
          </cell>
          <cell r="P14">
            <v>13521.48</v>
          </cell>
          <cell r="Q14">
            <v>1385</v>
          </cell>
          <cell r="R14">
            <v>101</v>
          </cell>
          <cell r="T14">
            <v>1486</v>
          </cell>
          <cell r="U14">
            <v>12035.48</v>
          </cell>
        </row>
        <row r="15">
          <cell r="A15">
            <v>5</v>
          </cell>
          <cell r="B15">
            <v>72232186</v>
          </cell>
          <cell r="C15" t="str">
            <v>RAVINDRA</v>
          </cell>
          <cell r="D15" t="str">
            <v>AJAY PAL</v>
          </cell>
          <cell r="E15" t="str">
            <v/>
          </cell>
          <cell r="F15" t="str">
            <v>6113084733</v>
          </cell>
          <cell r="G15" t="str">
            <v>HELPER</v>
          </cell>
          <cell r="H15">
            <v>23</v>
          </cell>
          <cell r="I15">
            <v>0</v>
          </cell>
          <cell r="J15">
            <v>0</v>
          </cell>
          <cell r="K15">
            <v>23</v>
          </cell>
          <cell r="L15">
            <v>480.77</v>
          </cell>
          <cell r="M15">
            <v>11057.71</v>
          </cell>
          <cell r="N15">
            <v>26</v>
          </cell>
          <cell r="O15">
            <v>1563</v>
          </cell>
          <cell r="P15">
            <v>12620.71</v>
          </cell>
          <cell r="Q15">
            <v>1327</v>
          </cell>
          <cell r="R15">
            <v>95</v>
          </cell>
          <cell r="S15">
            <v>50</v>
          </cell>
          <cell r="T15">
            <v>1472</v>
          </cell>
          <cell r="U15">
            <v>11148.71</v>
          </cell>
        </row>
        <row r="16">
          <cell r="A16">
            <v>6</v>
          </cell>
          <cell r="B16">
            <v>72232120</v>
          </cell>
          <cell r="C16" t="str">
            <v>ASLAM KHAN</v>
          </cell>
          <cell r="D16" t="str">
            <v>MOBARIK</v>
          </cell>
          <cell r="E16" t="str">
            <v>101414866705</v>
          </cell>
          <cell r="F16" t="str">
            <v>61124587250</v>
          </cell>
          <cell r="G16" t="str">
            <v>HELPER</v>
          </cell>
          <cell r="H16">
            <v>26</v>
          </cell>
          <cell r="I16">
            <v>0</v>
          </cell>
          <cell r="J16">
            <v>0</v>
          </cell>
          <cell r="K16">
            <v>26</v>
          </cell>
          <cell r="L16">
            <v>480.77</v>
          </cell>
          <cell r="M16">
            <v>12500.02</v>
          </cell>
          <cell r="N16">
            <v>29</v>
          </cell>
          <cell r="O16">
            <v>1743</v>
          </cell>
          <cell r="P16">
            <v>14243.02</v>
          </cell>
          <cell r="Q16">
            <v>1500</v>
          </cell>
          <cell r="R16">
            <v>107</v>
          </cell>
          <cell r="S16">
            <v>50</v>
          </cell>
          <cell r="T16">
            <v>1657</v>
          </cell>
          <cell r="U16">
            <v>12586.02</v>
          </cell>
        </row>
        <row r="17">
          <cell r="A17">
            <v>7</v>
          </cell>
          <cell r="B17">
            <v>72232124</v>
          </cell>
          <cell r="C17" t="str">
            <v>SURJEET</v>
          </cell>
          <cell r="D17" t="str">
            <v>AMAR SINGH</v>
          </cell>
          <cell r="E17" t="str">
            <v>101402663975</v>
          </cell>
          <cell r="F17" t="str">
            <v>6111756705</v>
          </cell>
          <cell r="G17" t="str">
            <v>HELPER</v>
          </cell>
          <cell r="H17">
            <v>27</v>
          </cell>
          <cell r="I17">
            <v>0</v>
          </cell>
          <cell r="J17">
            <v>0</v>
          </cell>
          <cell r="K17">
            <v>27</v>
          </cell>
          <cell r="L17">
            <v>480.77</v>
          </cell>
          <cell r="M17">
            <v>12980.789999999999</v>
          </cell>
          <cell r="N17">
            <v>18</v>
          </cell>
          <cell r="O17">
            <v>1082</v>
          </cell>
          <cell r="P17">
            <v>14062.789999999999</v>
          </cell>
          <cell r="Q17">
            <v>1558</v>
          </cell>
          <cell r="R17">
            <v>105</v>
          </cell>
          <cell r="T17">
            <v>1663</v>
          </cell>
          <cell r="U17">
            <v>12399.789999999999</v>
          </cell>
        </row>
        <row r="18">
          <cell r="A18">
            <v>8</v>
          </cell>
          <cell r="B18">
            <v>72232127</v>
          </cell>
          <cell r="C18" t="str">
            <v>AJAY KUMAR</v>
          </cell>
          <cell r="D18" t="str">
            <v>ANIL KUMAR</v>
          </cell>
          <cell r="E18" t="str">
            <v>101593191256</v>
          </cell>
          <cell r="F18" t="str">
            <v>6112618101</v>
          </cell>
          <cell r="G18" t="str">
            <v>HELPER</v>
          </cell>
          <cell r="H18">
            <v>26</v>
          </cell>
          <cell r="I18">
            <v>0</v>
          </cell>
          <cell r="J18">
            <v>0</v>
          </cell>
          <cell r="K18">
            <v>26</v>
          </cell>
          <cell r="L18">
            <v>480.77</v>
          </cell>
          <cell r="M18">
            <v>12500.02</v>
          </cell>
          <cell r="N18">
            <v>8</v>
          </cell>
          <cell r="O18">
            <v>481</v>
          </cell>
          <cell r="P18">
            <v>12981.02</v>
          </cell>
          <cell r="Q18">
            <v>1500</v>
          </cell>
          <cell r="R18">
            <v>97</v>
          </cell>
          <cell r="S18">
            <v>250</v>
          </cell>
          <cell r="T18">
            <v>1847</v>
          </cell>
          <cell r="U18">
            <v>11134.02</v>
          </cell>
        </row>
        <row r="19">
          <cell r="A19">
            <v>9</v>
          </cell>
          <cell r="B19">
            <v>72232131</v>
          </cell>
          <cell r="C19" t="str">
            <v>HEERALAL</v>
          </cell>
          <cell r="D19" t="str">
            <v>SUKHPAL SINGH</v>
          </cell>
          <cell r="E19" t="str">
            <v>101653171237</v>
          </cell>
          <cell r="F19" t="str">
            <v>6112641019</v>
          </cell>
          <cell r="G19" t="str">
            <v>HELPER</v>
          </cell>
          <cell r="H19">
            <v>19</v>
          </cell>
          <cell r="I19">
            <v>0</v>
          </cell>
          <cell r="J19">
            <v>0</v>
          </cell>
          <cell r="K19">
            <v>19</v>
          </cell>
          <cell r="L19">
            <v>480.77</v>
          </cell>
          <cell r="M19">
            <v>9134.6299999999992</v>
          </cell>
          <cell r="N19">
            <v>8</v>
          </cell>
          <cell r="O19">
            <v>481</v>
          </cell>
          <cell r="P19">
            <v>9615.6299999999992</v>
          </cell>
          <cell r="Q19">
            <v>1096</v>
          </cell>
          <cell r="R19">
            <v>72</v>
          </cell>
          <cell r="T19">
            <v>1168</v>
          </cell>
          <cell r="U19">
            <v>8447.6299999999992</v>
          </cell>
        </row>
        <row r="20">
          <cell r="A20">
            <v>10</v>
          </cell>
          <cell r="B20">
            <v>72232159</v>
          </cell>
          <cell r="C20" t="str">
            <v>MONU KUMAR</v>
          </cell>
          <cell r="D20" t="str">
            <v>PITAM SINGH</v>
          </cell>
          <cell r="E20" t="str">
            <v>101207390772</v>
          </cell>
          <cell r="F20" t="str">
            <v>6111160003</v>
          </cell>
          <cell r="G20" t="str">
            <v>HELPER</v>
          </cell>
          <cell r="H20">
            <v>10</v>
          </cell>
          <cell r="I20">
            <v>0</v>
          </cell>
          <cell r="J20">
            <v>0</v>
          </cell>
          <cell r="K20">
            <v>10</v>
          </cell>
          <cell r="L20">
            <v>480.77</v>
          </cell>
          <cell r="M20">
            <v>4807.7</v>
          </cell>
          <cell r="N20">
            <v>6</v>
          </cell>
          <cell r="O20">
            <v>361</v>
          </cell>
          <cell r="P20">
            <v>5168.7</v>
          </cell>
          <cell r="Q20">
            <v>577</v>
          </cell>
          <cell r="R20">
            <v>39</v>
          </cell>
          <cell r="S20">
            <v>150</v>
          </cell>
          <cell r="T20">
            <v>766</v>
          </cell>
          <cell r="U20">
            <v>4402.7</v>
          </cell>
        </row>
        <row r="21">
          <cell r="A21">
            <v>11</v>
          </cell>
          <cell r="B21">
            <v>72232160</v>
          </cell>
          <cell r="C21" t="str">
            <v>NITESH KUMAR</v>
          </cell>
          <cell r="D21" t="str">
            <v>TELLU RAM</v>
          </cell>
          <cell r="E21" t="str">
            <v>100488919985</v>
          </cell>
          <cell r="F21" t="str">
            <v>6110244363</v>
          </cell>
          <cell r="G21" t="str">
            <v>HELPER</v>
          </cell>
          <cell r="H21">
            <v>23</v>
          </cell>
          <cell r="I21">
            <v>0</v>
          </cell>
          <cell r="J21">
            <v>0</v>
          </cell>
          <cell r="K21">
            <v>23</v>
          </cell>
          <cell r="L21">
            <v>480.77</v>
          </cell>
          <cell r="M21">
            <v>11057.71</v>
          </cell>
          <cell r="N21">
            <v>16</v>
          </cell>
          <cell r="O21">
            <v>962</v>
          </cell>
          <cell r="P21">
            <v>12019.71</v>
          </cell>
          <cell r="Q21">
            <v>1327</v>
          </cell>
          <cell r="R21">
            <v>90</v>
          </cell>
          <cell r="S21">
            <v>62</v>
          </cell>
          <cell r="T21">
            <v>1479</v>
          </cell>
          <cell r="U21">
            <v>10540.71</v>
          </cell>
        </row>
        <row r="22">
          <cell r="A22">
            <v>12</v>
          </cell>
          <cell r="B22">
            <v>72232163</v>
          </cell>
          <cell r="C22" t="str">
            <v>KAUSHINDRA</v>
          </cell>
          <cell r="D22" t="str">
            <v>ISHAM SINGH</v>
          </cell>
          <cell r="E22" t="str">
            <v>101267347538</v>
          </cell>
          <cell r="F22" t="str">
            <v>6111848626</v>
          </cell>
          <cell r="G22" t="str">
            <v>H.SKILLED</v>
          </cell>
          <cell r="H22">
            <v>27</v>
          </cell>
          <cell r="I22">
            <v>0</v>
          </cell>
          <cell r="J22">
            <v>0</v>
          </cell>
          <cell r="K22">
            <v>27</v>
          </cell>
          <cell r="L22">
            <v>542.04</v>
          </cell>
          <cell r="M22">
            <v>14635.079999999998</v>
          </cell>
          <cell r="N22">
            <v>52</v>
          </cell>
          <cell r="O22">
            <v>3523</v>
          </cell>
          <cell r="P22">
            <v>18158.079999999998</v>
          </cell>
          <cell r="Q22">
            <v>1756</v>
          </cell>
          <cell r="R22">
            <v>136</v>
          </cell>
          <cell r="T22">
            <v>1892</v>
          </cell>
          <cell r="U22">
            <v>16266.079999999998</v>
          </cell>
        </row>
        <row r="23">
          <cell r="A23">
            <v>13</v>
          </cell>
          <cell r="B23">
            <v>72232164</v>
          </cell>
          <cell r="C23" t="str">
            <v>SANDEEP</v>
          </cell>
          <cell r="D23" t="str">
            <v>RISHIPAL</v>
          </cell>
          <cell r="E23" t="str">
            <v>101277452773</v>
          </cell>
          <cell r="F23" t="str">
            <v>6111353057</v>
          </cell>
          <cell r="G23" t="str">
            <v>H.SKILLED</v>
          </cell>
          <cell r="H23">
            <v>18</v>
          </cell>
          <cell r="I23">
            <v>0</v>
          </cell>
          <cell r="J23">
            <v>0</v>
          </cell>
          <cell r="K23">
            <v>18</v>
          </cell>
          <cell r="L23">
            <v>542.04</v>
          </cell>
          <cell r="M23">
            <v>9756.7199999999993</v>
          </cell>
          <cell r="N23">
            <v>17</v>
          </cell>
          <cell r="O23">
            <v>1152</v>
          </cell>
          <cell r="P23">
            <v>10908.72</v>
          </cell>
          <cell r="Q23">
            <v>1171</v>
          </cell>
          <cell r="R23">
            <v>82</v>
          </cell>
          <cell r="T23">
            <v>1253</v>
          </cell>
          <cell r="U23">
            <v>9655.7199999999993</v>
          </cell>
        </row>
        <row r="24">
          <cell r="A24">
            <v>14</v>
          </cell>
          <cell r="B24">
            <v>72232165</v>
          </cell>
          <cell r="C24" t="str">
            <v>RAVI KUMAR</v>
          </cell>
          <cell r="D24" t="str">
            <v>GOPAL SINGH</v>
          </cell>
          <cell r="E24" t="str">
            <v>101207391238</v>
          </cell>
          <cell r="F24" t="str">
            <v>6111159974</v>
          </cell>
          <cell r="G24" t="str">
            <v>H.SKILLED</v>
          </cell>
          <cell r="H24">
            <v>25</v>
          </cell>
          <cell r="I24">
            <v>0</v>
          </cell>
          <cell r="J24">
            <v>0</v>
          </cell>
          <cell r="K24">
            <v>25</v>
          </cell>
          <cell r="L24">
            <v>542.04</v>
          </cell>
          <cell r="M24">
            <v>13551</v>
          </cell>
          <cell r="N24">
            <v>31</v>
          </cell>
          <cell r="O24">
            <v>2100</v>
          </cell>
          <cell r="P24">
            <v>15651</v>
          </cell>
          <cell r="Q24">
            <v>1626</v>
          </cell>
          <cell r="R24">
            <v>117</v>
          </cell>
          <cell r="T24">
            <v>1743</v>
          </cell>
          <cell r="U24">
            <v>13908</v>
          </cell>
        </row>
        <row r="25">
          <cell r="A25">
            <v>15</v>
          </cell>
          <cell r="B25">
            <v>72232166</v>
          </cell>
          <cell r="C25" t="str">
            <v>GOVIND</v>
          </cell>
          <cell r="D25" t="str">
            <v>PAWAN</v>
          </cell>
          <cell r="E25" t="str">
            <v>101163823055</v>
          </cell>
          <cell r="F25" t="str">
            <v>6113162970</v>
          </cell>
          <cell r="G25" t="str">
            <v>HELPER</v>
          </cell>
          <cell r="H25">
            <v>18</v>
          </cell>
          <cell r="I25">
            <v>0</v>
          </cell>
          <cell r="J25">
            <v>0</v>
          </cell>
          <cell r="K25">
            <v>18</v>
          </cell>
          <cell r="L25">
            <v>480.77</v>
          </cell>
          <cell r="M25">
            <v>8653.86</v>
          </cell>
          <cell r="N25">
            <v>39</v>
          </cell>
          <cell r="O25">
            <v>2344</v>
          </cell>
          <cell r="P25">
            <v>10997.86</v>
          </cell>
          <cell r="Q25">
            <v>1038</v>
          </cell>
          <cell r="R25">
            <v>82</v>
          </cell>
          <cell r="T25">
            <v>1120</v>
          </cell>
          <cell r="U25">
            <v>9877.86</v>
          </cell>
        </row>
        <row r="26">
          <cell r="A26">
            <v>16</v>
          </cell>
          <cell r="B26">
            <v>72232167</v>
          </cell>
          <cell r="C26" t="str">
            <v>NEERAJ KUMAR</v>
          </cell>
          <cell r="D26" t="str">
            <v>SORAN SINGH</v>
          </cell>
          <cell r="E26" t="str">
            <v>101795807783</v>
          </cell>
          <cell r="F26" t="str">
            <v>6113120324</v>
          </cell>
          <cell r="G26" t="str">
            <v>HELPER</v>
          </cell>
          <cell r="H26">
            <v>23</v>
          </cell>
          <cell r="I26">
            <v>0</v>
          </cell>
          <cell r="J26">
            <v>0</v>
          </cell>
          <cell r="K26">
            <v>23</v>
          </cell>
          <cell r="L26">
            <v>480.77</v>
          </cell>
          <cell r="M26">
            <v>11057.71</v>
          </cell>
          <cell r="N26">
            <v>22</v>
          </cell>
          <cell r="O26">
            <v>1322</v>
          </cell>
          <cell r="P26">
            <v>12379.71</v>
          </cell>
          <cell r="Q26">
            <v>1327</v>
          </cell>
          <cell r="R26">
            <v>93</v>
          </cell>
          <cell r="T26">
            <v>1420</v>
          </cell>
          <cell r="U26">
            <v>10959.71</v>
          </cell>
        </row>
        <row r="27">
          <cell r="A27">
            <v>17</v>
          </cell>
          <cell r="B27">
            <v>72232174</v>
          </cell>
          <cell r="C27" t="str">
            <v>MADAN SINGH</v>
          </cell>
          <cell r="D27" t="str">
            <v>CHATAR SINGH</v>
          </cell>
          <cell r="E27" t="str">
            <v>101277452760</v>
          </cell>
          <cell r="F27" t="str">
            <v>6111353053</v>
          </cell>
          <cell r="G27" t="str">
            <v>HELPER</v>
          </cell>
          <cell r="H27">
            <v>24</v>
          </cell>
          <cell r="I27">
            <v>0</v>
          </cell>
          <cell r="J27">
            <v>0</v>
          </cell>
          <cell r="K27">
            <v>24</v>
          </cell>
          <cell r="L27">
            <v>480.77</v>
          </cell>
          <cell r="M27">
            <v>11538.48</v>
          </cell>
          <cell r="N27">
            <v>27</v>
          </cell>
          <cell r="O27">
            <v>1623</v>
          </cell>
          <cell r="P27">
            <v>13161.48</v>
          </cell>
          <cell r="Q27">
            <v>1385</v>
          </cell>
          <cell r="R27">
            <v>99</v>
          </cell>
          <cell r="S27">
            <v>100</v>
          </cell>
          <cell r="T27">
            <v>1584</v>
          </cell>
          <cell r="U27">
            <v>11577.48</v>
          </cell>
        </row>
        <row r="28">
          <cell r="A28">
            <v>18</v>
          </cell>
          <cell r="B28">
            <v>72232208</v>
          </cell>
          <cell r="C28" t="str">
            <v>BABLU</v>
          </cell>
          <cell r="D28" t="str">
            <v>RAJPAL</v>
          </cell>
          <cell r="E28" t="str">
            <v>101358281149</v>
          </cell>
          <cell r="F28" t="str">
            <v>6113708172</v>
          </cell>
          <cell r="G28" t="str">
            <v>HELPER</v>
          </cell>
          <cell r="H28">
            <v>20</v>
          </cell>
          <cell r="I28">
            <v>0</v>
          </cell>
          <cell r="J28">
            <v>0</v>
          </cell>
          <cell r="K28">
            <v>20</v>
          </cell>
          <cell r="L28">
            <v>480.77</v>
          </cell>
          <cell r="M28">
            <v>9615.4</v>
          </cell>
          <cell r="N28">
            <v>14</v>
          </cell>
          <cell r="O28">
            <v>841</v>
          </cell>
          <cell r="P28">
            <v>10456.4</v>
          </cell>
          <cell r="Q28">
            <v>1154</v>
          </cell>
          <cell r="R28">
            <v>78</v>
          </cell>
          <cell r="S28">
            <v>150</v>
          </cell>
          <cell r="T28">
            <v>1382</v>
          </cell>
          <cell r="U28">
            <v>9074.4</v>
          </cell>
        </row>
        <row r="29">
          <cell r="A29">
            <v>19</v>
          </cell>
          <cell r="B29">
            <v>72232177</v>
          </cell>
          <cell r="C29" t="str">
            <v>MUKESH</v>
          </cell>
          <cell r="D29" t="str">
            <v>MAMCHAND</v>
          </cell>
          <cell r="E29" t="str">
            <v>101092821026</v>
          </cell>
          <cell r="F29" t="str">
            <v>6110263804</v>
          </cell>
          <cell r="G29" t="str">
            <v>HELPER</v>
          </cell>
          <cell r="H29">
            <v>23</v>
          </cell>
          <cell r="I29">
            <v>0</v>
          </cell>
          <cell r="J29">
            <v>0</v>
          </cell>
          <cell r="K29">
            <v>23</v>
          </cell>
          <cell r="L29">
            <v>480.77</v>
          </cell>
          <cell r="M29">
            <v>11057.71</v>
          </cell>
          <cell r="N29">
            <v>25</v>
          </cell>
          <cell r="O29">
            <v>1502</v>
          </cell>
          <cell r="P29">
            <v>12559.71</v>
          </cell>
          <cell r="Q29">
            <v>1327</v>
          </cell>
          <cell r="R29">
            <v>94</v>
          </cell>
          <cell r="S29">
            <v>62</v>
          </cell>
          <cell r="T29">
            <v>1483</v>
          </cell>
          <cell r="U29">
            <v>11076.71</v>
          </cell>
        </row>
        <row r="30">
          <cell r="A30">
            <v>20</v>
          </cell>
          <cell r="B30">
            <v>72232178</v>
          </cell>
          <cell r="C30" t="str">
            <v>AKSHAY KUMAR</v>
          </cell>
          <cell r="D30" t="str">
            <v>SATPAL</v>
          </cell>
          <cell r="E30" t="str">
            <v>101402664613</v>
          </cell>
          <cell r="F30" t="str">
            <v>6111465832</v>
          </cell>
          <cell r="G30" t="str">
            <v>HELPER</v>
          </cell>
          <cell r="H30">
            <v>24</v>
          </cell>
          <cell r="I30">
            <v>0</v>
          </cell>
          <cell r="J30">
            <v>0</v>
          </cell>
          <cell r="K30">
            <v>24</v>
          </cell>
          <cell r="L30">
            <v>480.77</v>
          </cell>
          <cell r="M30">
            <v>11538.48</v>
          </cell>
          <cell r="N30">
            <v>30</v>
          </cell>
          <cell r="O30">
            <v>1803</v>
          </cell>
          <cell r="P30">
            <v>13341.48</v>
          </cell>
          <cell r="Q30">
            <v>1385</v>
          </cell>
          <cell r="R30">
            <v>100</v>
          </cell>
          <cell r="T30">
            <v>1485</v>
          </cell>
          <cell r="U30">
            <v>11856.48</v>
          </cell>
        </row>
        <row r="31">
          <cell r="A31">
            <v>21</v>
          </cell>
          <cell r="B31">
            <v>72232179</v>
          </cell>
          <cell r="C31" t="str">
            <v>MONU</v>
          </cell>
          <cell r="D31" t="str">
            <v>MAHIPAL SINGH</v>
          </cell>
          <cell r="E31" t="str">
            <v>101207391199</v>
          </cell>
          <cell r="F31" t="str">
            <v>6111159991</v>
          </cell>
          <cell r="G31" t="str">
            <v>HELPER</v>
          </cell>
          <cell r="H31">
            <v>26</v>
          </cell>
          <cell r="I31">
            <v>0</v>
          </cell>
          <cell r="J31">
            <v>0</v>
          </cell>
          <cell r="K31">
            <v>26</v>
          </cell>
          <cell r="L31">
            <v>480.77</v>
          </cell>
          <cell r="M31">
            <v>12500.02</v>
          </cell>
          <cell r="N31">
            <v>29</v>
          </cell>
          <cell r="O31">
            <v>1743</v>
          </cell>
          <cell r="P31">
            <v>14243.02</v>
          </cell>
          <cell r="Q31">
            <v>1500</v>
          </cell>
          <cell r="R31">
            <v>107</v>
          </cell>
          <cell r="T31">
            <v>1607</v>
          </cell>
          <cell r="U31">
            <v>12636.02</v>
          </cell>
        </row>
        <row r="32">
          <cell r="A32">
            <v>22</v>
          </cell>
          <cell r="B32">
            <v>72232180</v>
          </cell>
          <cell r="C32" t="str">
            <v>ANUJ</v>
          </cell>
          <cell r="D32" t="str">
            <v>SHYAM KUMAR</v>
          </cell>
          <cell r="E32" t="str">
            <v>101071404816</v>
          </cell>
          <cell r="F32" t="str">
            <v>6113618997</v>
          </cell>
          <cell r="G32" t="str">
            <v>HELPER</v>
          </cell>
          <cell r="H32">
            <v>16</v>
          </cell>
          <cell r="I32">
            <v>0</v>
          </cell>
          <cell r="J32">
            <v>0</v>
          </cell>
          <cell r="K32">
            <v>16</v>
          </cell>
          <cell r="L32">
            <v>480.77</v>
          </cell>
          <cell r="M32">
            <v>7692.32</v>
          </cell>
          <cell r="N32">
            <v>16</v>
          </cell>
          <cell r="O32">
            <v>962</v>
          </cell>
          <cell r="P32">
            <v>8654.32</v>
          </cell>
          <cell r="Q32">
            <v>923</v>
          </cell>
          <cell r="R32">
            <v>65</v>
          </cell>
          <cell r="S32">
            <v>500</v>
          </cell>
          <cell r="T32">
            <v>1488</v>
          </cell>
          <cell r="U32">
            <v>7166.32</v>
          </cell>
        </row>
        <row r="33">
          <cell r="A33">
            <v>23</v>
          </cell>
          <cell r="B33">
            <v>72232182</v>
          </cell>
          <cell r="C33" t="str">
            <v>ANKIT</v>
          </cell>
          <cell r="D33" t="str">
            <v>TELLURAM</v>
          </cell>
          <cell r="E33" t="str">
            <v>101807329476</v>
          </cell>
          <cell r="F33" t="str">
            <v>6113162971</v>
          </cell>
          <cell r="G33" t="str">
            <v>HELPER</v>
          </cell>
          <cell r="H33">
            <v>17</v>
          </cell>
          <cell r="I33">
            <v>0</v>
          </cell>
          <cell r="J33">
            <v>0</v>
          </cell>
          <cell r="K33">
            <v>17</v>
          </cell>
          <cell r="L33">
            <v>480.77</v>
          </cell>
          <cell r="M33">
            <v>8173.09</v>
          </cell>
          <cell r="N33">
            <v>7</v>
          </cell>
          <cell r="O33">
            <v>421</v>
          </cell>
          <cell r="P33">
            <v>8594.09</v>
          </cell>
          <cell r="Q33">
            <v>981</v>
          </cell>
          <cell r="R33">
            <v>64</v>
          </cell>
          <cell r="T33">
            <v>1045</v>
          </cell>
          <cell r="U33">
            <v>7549.09</v>
          </cell>
        </row>
        <row r="34">
          <cell r="A34">
            <v>24</v>
          </cell>
          <cell r="B34">
            <v>72232190</v>
          </cell>
          <cell r="C34" t="str">
            <v>VIRENDRA</v>
          </cell>
          <cell r="D34" t="str">
            <v>CHAMAN SINGH</v>
          </cell>
          <cell r="E34" t="str">
            <v>101161379604</v>
          </cell>
          <cell r="F34" t="str">
            <v>6113663808</v>
          </cell>
          <cell r="G34" t="str">
            <v>HELPER</v>
          </cell>
          <cell r="H34">
            <v>24</v>
          </cell>
          <cell r="I34">
            <v>0</v>
          </cell>
          <cell r="J34">
            <v>0</v>
          </cell>
          <cell r="K34">
            <v>24</v>
          </cell>
          <cell r="L34">
            <v>480.77</v>
          </cell>
          <cell r="M34">
            <v>11538.48</v>
          </cell>
          <cell r="N34">
            <v>37</v>
          </cell>
          <cell r="O34">
            <v>2224</v>
          </cell>
          <cell r="P34">
            <v>13762.48</v>
          </cell>
          <cell r="Q34">
            <v>1385</v>
          </cell>
          <cell r="R34">
            <v>103</v>
          </cell>
          <cell r="S34">
            <v>300</v>
          </cell>
          <cell r="T34">
            <v>1788</v>
          </cell>
          <cell r="U34">
            <v>11974.48</v>
          </cell>
        </row>
        <row r="35">
          <cell r="A35">
            <v>25</v>
          </cell>
          <cell r="B35">
            <v>72232192</v>
          </cell>
          <cell r="C35" t="str">
            <v>ANKIT NAUTIYAL</v>
          </cell>
          <cell r="D35" t="str">
            <v>NARESH</v>
          </cell>
          <cell r="E35" t="str">
            <v>101402663952</v>
          </cell>
          <cell r="F35" t="str">
            <v>6112670923</v>
          </cell>
          <cell r="G35" t="str">
            <v>HELPER</v>
          </cell>
          <cell r="H35">
            <v>14</v>
          </cell>
          <cell r="I35">
            <v>0</v>
          </cell>
          <cell r="J35">
            <v>0</v>
          </cell>
          <cell r="K35">
            <v>14</v>
          </cell>
          <cell r="L35">
            <v>480.77</v>
          </cell>
          <cell r="M35">
            <v>6730.78</v>
          </cell>
          <cell r="N35">
            <v>0</v>
          </cell>
          <cell r="O35">
            <v>0</v>
          </cell>
          <cell r="P35">
            <v>6730.78</v>
          </cell>
          <cell r="Q35">
            <v>808</v>
          </cell>
          <cell r="R35">
            <v>50</v>
          </cell>
          <cell r="T35">
            <v>858</v>
          </cell>
          <cell r="U35">
            <v>5872.78</v>
          </cell>
        </row>
        <row r="36">
          <cell r="A36">
            <v>26</v>
          </cell>
          <cell r="B36">
            <v>72232195</v>
          </cell>
          <cell r="C36" t="str">
            <v>SACHIN KUMAR</v>
          </cell>
          <cell r="D36" t="str">
            <v>SURAT SINGH</v>
          </cell>
          <cell r="E36" t="str">
            <v>101574932657</v>
          </cell>
          <cell r="F36" t="str">
            <v>6113400574</v>
          </cell>
          <cell r="G36" t="str">
            <v>HELPER</v>
          </cell>
          <cell r="H36">
            <v>24</v>
          </cell>
          <cell r="I36">
            <v>0</v>
          </cell>
          <cell r="J36">
            <v>0</v>
          </cell>
          <cell r="K36">
            <v>24</v>
          </cell>
          <cell r="L36">
            <v>480.77</v>
          </cell>
          <cell r="M36">
            <v>11538.48</v>
          </cell>
          <cell r="N36">
            <v>28</v>
          </cell>
          <cell r="O36">
            <v>1683</v>
          </cell>
          <cell r="P36">
            <v>13221.48</v>
          </cell>
          <cell r="Q36">
            <v>1385</v>
          </cell>
          <cell r="R36">
            <v>99</v>
          </cell>
          <cell r="T36">
            <v>1484</v>
          </cell>
          <cell r="U36">
            <v>11737.48</v>
          </cell>
        </row>
        <row r="37">
          <cell r="A37">
            <v>27</v>
          </cell>
          <cell r="B37">
            <v>72232196</v>
          </cell>
          <cell r="C37" t="str">
            <v>ANKIT</v>
          </cell>
          <cell r="D37" t="str">
            <v>JOGINDRA</v>
          </cell>
          <cell r="E37" t="str">
            <v>101380515210</v>
          </cell>
          <cell r="F37" t="str">
            <v>6113104072</v>
          </cell>
          <cell r="G37" t="str">
            <v>HELPER</v>
          </cell>
          <cell r="H37">
            <v>25</v>
          </cell>
          <cell r="I37">
            <v>0</v>
          </cell>
          <cell r="J37">
            <v>0</v>
          </cell>
          <cell r="K37">
            <v>25</v>
          </cell>
          <cell r="L37">
            <v>480.77</v>
          </cell>
          <cell r="M37">
            <v>12019.25</v>
          </cell>
          <cell r="N37">
            <v>0</v>
          </cell>
          <cell r="O37">
            <v>0</v>
          </cell>
          <cell r="P37">
            <v>12019.25</v>
          </cell>
          <cell r="Q37">
            <v>1442</v>
          </cell>
          <cell r="R37">
            <v>90</v>
          </cell>
          <cell r="S37">
            <v>100</v>
          </cell>
          <cell r="T37">
            <v>1632</v>
          </cell>
          <cell r="U37">
            <v>10387.25</v>
          </cell>
        </row>
        <row r="38">
          <cell r="A38">
            <v>28</v>
          </cell>
          <cell r="B38">
            <v>99122390</v>
          </cell>
          <cell r="C38" t="str">
            <v>HARUN</v>
          </cell>
          <cell r="D38" t="str">
            <v>RIYASAT</v>
          </cell>
          <cell r="E38" t="str">
            <v>101623418038</v>
          </cell>
          <cell r="F38" t="str">
            <v>6113837571</v>
          </cell>
          <cell r="G38" t="str">
            <v>HELPER</v>
          </cell>
          <cell r="H38">
            <v>13</v>
          </cell>
          <cell r="I38">
            <v>0</v>
          </cell>
          <cell r="J38">
            <v>0</v>
          </cell>
          <cell r="K38">
            <v>13</v>
          </cell>
          <cell r="L38">
            <v>480.77</v>
          </cell>
          <cell r="M38">
            <v>6250.01</v>
          </cell>
          <cell r="N38">
            <v>1</v>
          </cell>
          <cell r="O38">
            <v>60</v>
          </cell>
          <cell r="P38">
            <v>6310.01</v>
          </cell>
          <cell r="Q38">
            <v>750</v>
          </cell>
          <cell r="R38">
            <v>47</v>
          </cell>
          <cell r="S38">
            <v>300</v>
          </cell>
          <cell r="T38">
            <v>1097</v>
          </cell>
          <cell r="U38">
            <v>5213.01</v>
          </cell>
        </row>
        <row r="39">
          <cell r="A39">
            <v>29</v>
          </cell>
          <cell r="B39">
            <v>99122481</v>
          </cell>
          <cell r="C39" t="str">
            <v>ASS.MOHOMMED</v>
          </cell>
          <cell r="D39" t="str">
            <v>KALLU</v>
          </cell>
          <cell r="E39" t="str">
            <v>101250819007</v>
          </cell>
          <cell r="F39" t="str">
            <v>6111649567</v>
          </cell>
          <cell r="G39" t="str">
            <v>HELPER</v>
          </cell>
          <cell r="H39">
            <v>20</v>
          </cell>
          <cell r="I39">
            <v>0</v>
          </cell>
          <cell r="J39">
            <v>0</v>
          </cell>
          <cell r="K39">
            <v>20</v>
          </cell>
          <cell r="L39">
            <v>480.77</v>
          </cell>
          <cell r="M39">
            <v>9615.4</v>
          </cell>
          <cell r="N39">
            <v>3</v>
          </cell>
          <cell r="O39">
            <v>180</v>
          </cell>
          <cell r="P39">
            <v>9795.4</v>
          </cell>
          <cell r="Q39">
            <v>1154</v>
          </cell>
          <cell r="R39">
            <v>73</v>
          </cell>
          <cell r="S39">
            <v>500</v>
          </cell>
          <cell r="T39">
            <v>1727</v>
          </cell>
          <cell r="U39">
            <v>8068.4</v>
          </cell>
        </row>
        <row r="40">
          <cell r="A40">
            <v>30</v>
          </cell>
          <cell r="B40">
            <v>99122482</v>
          </cell>
          <cell r="C40" t="str">
            <v>RAJENDRA KUMAR</v>
          </cell>
          <cell r="D40" t="str">
            <v>NETRPAL SINGH</v>
          </cell>
          <cell r="E40" t="str">
            <v>101972448634</v>
          </cell>
          <cell r="F40" t="str">
            <v>6113759038</v>
          </cell>
          <cell r="G40" t="str">
            <v>HELPER</v>
          </cell>
          <cell r="H40">
            <v>15</v>
          </cell>
          <cell r="I40">
            <v>0</v>
          </cell>
          <cell r="J40">
            <v>0</v>
          </cell>
          <cell r="K40">
            <v>15</v>
          </cell>
          <cell r="L40">
            <v>480.77</v>
          </cell>
          <cell r="M40">
            <v>7211.5499999999993</v>
          </cell>
          <cell r="N40">
            <v>0</v>
          </cell>
          <cell r="O40">
            <v>0</v>
          </cell>
          <cell r="P40">
            <v>7211.5499999999993</v>
          </cell>
          <cell r="Q40">
            <v>865</v>
          </cell>
          <cell r="R40">
            <v>54</v>
          </cell>
          <cell r="T40">
            <v>919</v>
          </cell>
          <cell r="U40">
            <v>6292.5499999999993</v>
          </cell>
        </row>
        <row r="41">
          <cell r="A41">
            <v>31</v>
          </cell>
          <cell r="B41">
            <v>99122483</v>
          </cell>
          <cell r="C41" t="str">
            <v>MUNNA</v>
          </cell>
          <cell r="D41" t="str">
            <v>BUDHHU</v>
          </cell>
          <cell r="E41" t="str">
            <v>101235076797</v>
          </cell>
          <cell r="F41" t="str">
            <v>6111756723</v>
          </cell>
          <cell r="G41" t="str">
            <v>HELPER</v>
          </cell>
          <cell r="H41">
            <v>14</v>
          </cell>
          <cell r="I41">
            <v>0</v>
          </cell>
          <cell r="J41">
            <v>0</v>
          </cell>
          <cell r="K41">
            <v>14</v>
          </cell>
          <cell r="L41">
            <v>480.77</v>
          </cell>
          <cell r="M41">
            <v>6730.78</v>
          </cell>
          <cell r="N41">
            <v>8</v>
          </cell>
          <cell r="O41">
            <v>481</v>
          </cell>
          <cell r="P41">
            <v>7211.78</v>
          </cell>
          <cell r="Q41">
            <v>808</v>
          </cell>
          <cell r="R41">
            <v>54</v>
          </cell>
          <cell r="S41">
            <v>600</v>
          </cell>
          <cell r="T41">
            <v>1462</v>
          </cell>
          <cell r="U41">
            <v>5749.78</v>
          </cell>
        </row>
        <row r="42">
          <cell r="A42">
            <v>32</v>
          </cell>
          <cell r="B42">
            <v>99132036</v>
          </cell>
          <cell r="C42" t="str">
            <v>SONU KUMAR</v>
          </cell>
          <cell r="D42" t="str">
            <v>KALURAM</v>
          </cell>
          <cell r="E42" t="str">
            <v>101845492274</v>
          </cell>
          <cell r="F42" t="str">
            <v>6112963453</v>
          </cell>
          <cell r="G42" t="str">
            <v>HELPER</v>
          </cell>
          <cell r="H42">
            <v>26</v>
          </cell>
          <cell r="I42">
            <v>0</v>
          </cell>
          <cell r="J42">
            <v>0</v>
          </cell>
          <cell r="K42">
            <v>26</v>
          </cell>
          <cell r="L42">
            <v>480.77</v>
          </cell>
          <cell r="M42">
            <v>12500.02</v>
          </cell>
          <cell r="N42">
            <v>52</v>
          </cell>
          <cell r="O42">
            <v>3125</v>
          </cell>
          <cell r="P42">
            <v>15625.02</v>
          </cell>
          <cell r="Q42">
            <v>1500</v>
          </cell>
          <cell r="R42">
            <v>117</v>
          </cell>
          <cell r="T42">
            <v>1617</v>
          </cell>
          <cell r="U42">
            <v>14008.02</v>
          </cell>
        </row>
        <row r="43">
          <cell r="A43">
            <v>33</v>
          </cell>
          <cell r="B43">
            <v>99132326</v>
          </cell>
          <cell r="C43" t="str">
            <v>SHERKHAN</v>
          </cell>
          <cell r="D43" t="str">
            <v>JAHANGEER</v>
          </cell>
          <cell r="E43" t="str">
            <v>101611317313</v>
          </cell>
          <cell r="F43" t="str">
            <v>6112478377</v>
          </cell>
          <cell r="G43" t="str">
            <v>HELPER</v>
          </cell>
          <cell r="H43">
            <v>25</v>
          </cell>
          <cell r="I43">
            <v>0</v>
          </cell>
          <cell r="J43">
            <v>0</v>
          </cell>
          <cell r="K43">
            <v>25</v>
          </cell>
          <cell r="L43">
            <v>480.77</v>
          </cell>
          <cell r="M43">
            <v>12019.25</v>
          </cell>
          <cell r="N43">
            <v>16</v>
          </cell>
          <cell r="O43">
            <v>962</v>
          </cell>
          <cell r="P43">
            <v>12981.25</v>
          </cell>
          <cell r="Q43">
            <v>1442</v>
          </cell>
          <cell r="R43">
            <v>97</v>
          </cell>
          <cell r="T43">
            <v>1539</v>
          </cell>
          <cell r="U43">
            <v>11442.25</v>
          </cell>
        </row>
        <row r="44">
          <cell r="A44">
            <v>34</v>
          </cell>
          <cell r="B44">
            <v>99133051</v>
          </cell>
          <cell r="C44" t="str">
            <v>DANISH</v>
          </cell>
          <cell r="D44" t="str">
            <v>PARVEJ ALAM</v>
          </cell>
          <cell r="E44" t="str">
            <v>101508321825</v>
          </cell>
          <cell r="F44" t="str">
            <v>6112111749</v>
          </cell>
          <cell r="G44" t="str">
            <v>HELPER</v>
          </cell>
          <cell r="H44">
            <v>19</v>
          </cell>
          <cell r="I44">
            <v>0</v>
          </cell>
          <cell r="J44">
            <v>0</v>
          </cell>
          <cell r="K44">
            <v>19</v>
          </cell>
          <cell r="L44">
            <v>480.77</v>
          </cell>
          <cell r="M44">
            <v>9134.6299999999992</v>
          </cell>
          <cell r="N44">
            <v>12</v>
          </cell>
          <cell r="O44">
            <v>721</v>
          </cell>
          <cell r="P44">
            <v>9855.6299999999992</v>
          </cell>
          <cell r="Q44">
            <v>1096</v>
          </cell>
          <cell r="R44">
            <v>74</v>
          </cell>
          <cell r="T44">
            <v>1170</v>
          </cell>
          <cell r="U44">
            <v>8685.6299999999992</v>
          </cell>
        </row>
        <row r="45">
          <cell r="A45">
            <v>35</v>
          </cell>
          <cell r="B45">
            <v>99133848</v>
          </cell>
          <cell r="C45" t="str">
            <v>SAKIR ALI</v>
          </cell>
          <cell r="D45" t="str">
            <v>SHAKIL AHAMAD</v>
          </cell>
          <cell r="E45" t="str">
            <v>102077193786</v>
          </cell>
          <cell r="F45" t="str">
            <v>6114182147</v>
          </cell>
          <cell r="G45" t="str">
            <v>HELPER</v>
          </cell>
          <cell r="H45">
            <v>20</v>
          </cell>
          <cell r="I45">
            <v>0</v>
          </cell>
          <cell r="J45">
            <v>0</v>
          </cell>
          <cell r="K45">
            <v>20</v>
          </cell>
          <cell r="L45">
            <v>480.77</v>
          </cell>
          <cell r="M45">
            <v>9615.4</v>
          </cell>
          <cell r="N45">
            <v>15</v>
          </cell>
          <cell r="O45">
            <v>901</v>
          </cell>
          <cell r="P45">
            <v>10516.4</v>
          </cell>
          <cell r="Q45">
            <v>1154</v>
          </cell>
          <cell r="R45">
            <v>79</v>
          </cell>
          <cell r="S45">
            <v>200</v>
          </cell>
          <cell r="T45">
            <v>1433</v>
          </cell>
          <cell r="U45">
            <v>9083.4</v>
          </cell>
        </row>
        <row r="46">
          <cell r="A46">
            <v>36</v>
          </cell>
          <cell r="B46">
            <v>99134608</v>
          </cell>
          <cell r="C46" t="str">
            <v>AASKAR</v>
          </cell>
          <cell r="D46" t="str">
            <v>IRFAN</v>
          </cell>
          <cell r="E46" t="str">
            <v>102121985279</v>
          </cell>
          <cell r="F46" t="str">
            <v>6114350935</v>
          </cell>
          <cell r="G46" t="str">
            <v>HELPER</v>
          </cell>
          <cell r="H46">
            <v>21</v>
          </cell>
          <cell r="I46">
            <v>0</v>
          </cell>
          <cell r="J46">
            <v>0</v>
          </cell>
          <cell r="K46">
            <v>21</v>
          </cell>
          <cell r="L46">
            <v>480.77</v>
          </cell>
          <cell r="M46">
            <v>10096.17</v>
          </cell>
          <cell r="N46">
            <v>15</v>
          </cell>
          <cell r="O46">
            <v>901</v>
          </cell>
          <cell r="P46">
            <v>10997.17</v>
          </cell>
          <cell r="Q46">
            <v>1212</v>
          </cell>
          <cell r="R46">
            <v>82</v>
          </cell>
          <cell r="T46">
            <v>1294</v>
          </cell>
          <cell r="U46">
            <v>9703.17</v>
          </cell>
        </row>
        <row r="47">
          <cell r="A47">
            <v>37</v>
          </cell>
          <cell r="B47">
            <v>99134609</v>
          </cell>
          <cell r="C47" t="str">
            <v>AKASH</v>
          </cell>
          <cell r="D47" t="str">
            <v>JAGDEESH</v>
          </cell>
          <cell r="E47" t="str">
            <v>101825802709</v>
          </cell>
          <cell r="F47" t="str">
            <v>6114305172</v>
          </cell>
          <cell r="G47" t="str">
            <v>HELPER</v>
          </cell>
          <cell r="H47">
            <v>19</v>
          </cell>
          <cell r="I47">
            <v>0</v>
          </cell>
          <cell r="J47">
            <v>0</v>
          </cell>
          <cell r="K47">
            <v>19</v>
          </cell>
          <cell r="L47">
            <v>480.77</v>
          </cell>
          <cell r="M47">
            <v>9134.6299999999992</v>
          </cell>
          <cell r="N47">
            <v>21</v>
          </cell>
          <cell r="O47">
            <v>1262</v>
          </cell>
          <cell r="P47">
            <v>10396.629999999999</v>
          </cell>
          <cell r="Q47">
            <v>1096</v>
          </cell>
          <cell r="R47">
            <v>78</v>
          </cell>
          <cell r="T47">
            <v>1174</v>
          </cell>
          <cell r="U47">
            <v>9222.6299999999992</v>
          </cell>
        </row>
        <row r="48">
          <cell r="A48">
            <v>38</v>
          </cell>
          <cell r="B48">
            <v>99134667</v>
          </cell>
          <cell r="C48" t="str">
            <v>SUMIT KUMAR</v>
          </cell>
          <cell r="D48" t="str">
            <v>SEWA RAM</v>
          </cell>
          <cell r="E48" t="str">
            <v>101518399199</v>
          </cell>
          <cell r="F48" t="str">
            <v>6114379212</v>
          </cell>
          <cell r="G48" t="str">
            <v>HELPER</v>
          </cell>
          <cell r="H48">
            <v>21</v>
          </cell>
          <cell r="I48">
            <v>0</v>
          </cell>
          <cell r="J48">
            <v>0</v>
          </cell>
          <cell r="K48">
            <v>21</v>
          </cell>
          <cell r="L48">
            <v>480.77</v>
          </cell>
          <cell r="M48">
            <v>10096.17</v>
          </cell>
          <cell r="N48">
            <v>36</v>
          </cell>
          <cell r="O48">
            <v>2163</v>
          </cell>
          <cell r="P48">
            <v>12259.17</v>
          </cell>
          <cell r="Q48">
            <v>1212</v>
          </cell>
          <cell r="R48">
            <v>92</v>
          </cell>
          <cell r="T48">
            <v>1304</v>
          </cell>
          <cell r="U48">
            <v>10955.17</v>
          </cell>
        </row>
        <row r="49">
          <cell r="A49">
            <v>39</v>
          </cell>
          <cell r="B49">
            <v>99134670</v>
          </cell>
          <cell r="C49" t="str">
            <v>ASHISH KUMAR</v>
          </cell>
          <cell r="D49" t="str">
            <v>PARDEEP KUMAR</v>
          </cell>
          <cell r="E49" t="str">
            <v>102071110459</v>
          </cell>
          <cell r="F49" t="str">
            <v>6114222968</v>
          </cell>
          <cell r="G49" t="str">
            <v>HELPER</v>
          </cell>
          <cell r="H49">
            <v>23</v>
          </cell>
          <cell r="I49">
            <v>0</v>
          </cell>
          <cell r="J49">
            <v>0</v>
          </cell>
          <cell r="K49">
            <v>23</v>
          </cell>
          <cell r="L49">
            <v>480.77</v>
          </cell>
          <cell r="M49">
            <v>11057.71</v>
          </cell>
          <cell r="N49">
            <v>18</v>
          </cell>
          <cell r="O49">
            <v>1082</v>
          </cell>
          <cell r="P49">
            <v>12139.71</v>
          </cell>
          <cell r="Q49">
            <v>1327</v>
          </cell>
          <cell r="R49">
            <v>91</v>
          </cell>
          <cell r="S49">
            <v>24</v>
          </cell>
          <cell r="T49">
            <v>1442</v>
          </cell>
          <cell r="U49">
            <v>10697.71</v>
          </cell>
        </row>
        <row r="50">
          <cell r="A50">
            <v>40</v>
          </cell>
          <cell r="B50">
            <v>99134827</v>
          </cell>
          <cell r="C50" t="str">
            <v>BINTU</v>
          </cell>
          <cell r="D50" t="str">
            <v>OMPAL</v>
          </cell>
          <cell r="E50" t="str">
            <v>101958527487</v>
          </cell>
          <cell r="F50" t="str">
            <v>6113712743</v>
          </cell>
          <cell r="G50" t="str">
            <v>HELPER</v>
          </cell>
          <cell r="H50">
            <v>23</v>
          </cell>
          <cell r="I50">
            <v>0</v>
          </cell>
          <cell r="J50">
            <v>0</v>
          </cell>
          <cell r="K50">
            <v>23</v>
          </cell>
          <cell r="L50">
            <v>480.77</v>
          </cell>
          <cell r="M50">
            <v>11057.71</v>
          </cell>
          <cell r="N50">
            <v>26</v>
          </cell>
          <cell r="O50">
            <v>1563</v>
          </cell>
          <cell r="P50">
            <v>12620.71</v>
          </cell>
          <cell r="Q50">
            <v>1327</v>
          </cell>
          <cell r="R50">
            <v>95</v>
          </cell>
          <cell r="S50">
            <v>1350</v>
          </cell>
          <cell r="T50">
            <v>2772</v>
          </cell>
          <cell r="U50">
            <v>9848.7099999999991</v>
          </cell>
        </row>
        <row r="51">
          <cell r="A51">
            <v>41</v>
          </cell>
          <cell r="B51">
            <v>99134829</v>
          </cell>
          <cell r="C51" t="str">
            <v>SAGAR KASHYAP</v>
          </cell>
          <cell r="D51" t="str">
            <v>SOMPAL KASHYAP</v>
          </cell>
          <cell r="E51" t="str">
            <v>102139425206</v>
          </cell>
          <cell r="F51" t="str">
            <v>6114402537</v>
          </cell>
          <cell r="G51" t="str">
            <v>HELPER</v>
          </cell>
          <cell r="H51">
            <v>20</v>
          </cell>
          <cell r="I51">
            <v>0</v>
          </cell>
          <cell r="J51">
            <v>0</v>
          </cell>
          <cell r="K51">
            <v>20</v>
          </cell>
          <cell r="L51">
            <v>480.77</v>
          </cell>
          <cell r="M51">
            <v>9615.4</v>
          </cell>
          <cell r="N51">
            <v>0</v>
          </cell>
          <cell r="O51">
            <v>0</v>
          </cell>
          <cell r="P51">
            <v>9615.4</v>
          </cell>
          <cell r="Q51">
            <v>1154</v>
          </cell>
          <cell r="R51">
            <v>72</v>
          </cell>
          <cell r="S51">
            <v>50</v>
          </cell>
          <cell r="T51">
            <v>1276</v>
          </cell>
          <cell r="U51">
            <v>8339.4</v>
          </cell>
        </row>
        <row r="52">
          <cell r="A52">
            <v>42</v>
          </cell>
          <cell r="B52">
            <v>99134835</v>
          </cell>
          <cell r="C52" t="str">
            <v>ABHISHEK</v>
          </cell>
          <cell r="D52" t="str">
            <v>PAPPU SINGH</v>
          </cell>
          <cell r="E52" t="str">
            <v>101815765465</v>
          </cell>
          <cell r="F52" t="str">
            <v>6114053041</v>
          </cell>
          <cell r="G52" t="str">
            <v>HELPER</v>
          </cell>
          <cell r="H52">
            <v>18</v>
          </cell>
          <cell r="I52">
            <v>0</v>
          </cell>
          <cell r="J52">
            <v>0</v>
          </cell>
          <cell r="K52">
            <v>18</v>
          </cell>
          <cell r="L52">
            <v>480.77</v>
          </cell>
          <cell r="M52">
            <v>8653.86</v>
          </cell>
          <cell r="N52">
            <v>21</v>
          </cell>
          <cell r="O52">
            <v>1262</v>
          </cell>
          <cell r="P52">
            <v>9915.86</v>
          </cell>
          <cell r="Q52">
            <v>1038</v>
          </cell>
          <cell r="R52">
            <v>74</v>
          </cell>
          <cell r="T52">
            <v>1112</v>
          </cell>
          <cell r="U52">
            <v>8803.86</v>
          </cell>
        </row>
        <row r="53">
          <cell r="A53">
            <v>43</v>
          </cell>
          <cell r="B53">
            <v>99134836</v>
          </cell>
          <cell r="C53" t="str">
            <v>SHAHAVAN</v>
          </cell>
          <cell r="D53" t="str">
            <v>MUSTAFA</v>
          </cell>
          <cell r="E53" t="str">
            <v>102139499693</v>
          </cell>
          <cell r="F53" t="str">
            <v>6114403152</v>
          </cell>
          <cell r="G53" t="str">
            <v>HELPER</v>
          </cell>
          <cell r="H53">
            <v>14</v>
          </cell>
          <cell r="I53">
            <v>0</v>
          </cell>
          <cell r="J53">
            <v>0</v>
          </cell>
          <cell r="K53">
            <v>14</v>
          </cell>
          <cell r="L53">
            <v>480.77</v>
          </cell>
          <cell r="M53">
            <v>6730.78</v>
          </cell>
          <cell r="N53">
            <v>8</v>
          </cell>
          <cell r="O53">
            <v>481</v>
          </cell>
          <cell r="P53">
            <v>7211.78</v>
          </cell>
          <cell r="Q53">
            <v>808</v>
          </cell>
          <cell r="R53">
            <v>54</v>
          </cell>
          <cell r="T53">
            <v>862</v>
          </cell>
          <cell r="U53">
            <v>6349.78</v>
          </cell>
        </row>
        <row r="54">
          <cell r="A54">
            <v>44</v>
          </cell>
          <cell r="B54">
            <v>99123525</v>
          </cell>
          <cell r="C54" t="str">
            <v>VISHAL</v>
          </cell>
          <cell r="D54" t="str">
            <v>NARENDRA SINGH</v>
          </cell>
          <cell r="E54" t="str">
            <v>101755360660</v>
          </cell>
          <cell r="F54" t="str">
            <v>6114264835</v>
          </cell>
          <cell r="G54" t="str">
            <v>HELPER</v>
          </cell>
          <cell r="H54">
            <v>15</v>
          </cell>
          <cell r="I54">
            <v>0.375</v>
          </cell>
          <cell r="J54">
            <v>0</v>
          </cell>
          <cell r="K54">
            <v>14.625</v>
          </cell>
          <cell r="L54">
            <v>480.77</v>
          </cell>
          <cell r="M54">
            <v>7031.2612499999996</v>
          </cell>
          <cell r="N54">
            <v>0</v>
          </cell>
          <cell r="O54">
            <v>0</v>
          </cell>
          <cell r="P54">
            <v>7031.2612499999996</v>
          </cell>
          <cell r="Q54">
            <v>844</v>
          </cell>
          <cell r="R54">
            <v>53</v>
          </cell>
          <cell r="S54">
            <v>50</v>
          </cell>
          <cell r="T54">
            <v>947</v>
          </cell>
          <cell r="U54">
            <v>6084.2612499999996</v>
          </cell>
        </row>
        <row r="55">
          <cell r="A55">
            <v>45</v>
          </cell>
          <cell r="B55">
            <v>99135024</v>
          </cell>
          <cell r="C55" t="str">
            <v>YASHPAL</v>
          </cell>
          <cell r="D55" t="str">
            <v>NAKLI RAM</v>
          </cell>
          <cell r="E55" t="str">
            <v>101195070111</v>
          </cell>
          <cell r="F55" t="str">
            <v>6111611839</v>
          </cell>
          <cell r="G55" t="str">
            <v>HELPER</v>
          </cell>
          <cell r="H55">
            <v>17</v>
          </cell>
          <cell r="I55">
            <v>0</v>
          </cell>
          <cell r="J55">
            <v>0</v>
          </cell>
          <cell r="K55">
            <v>17</v>
          </cell>
          <cell r="L55">
            <v>480.77</v>
          </cell>
          <cell r="M55">
            <v>8173.09</v>
          </cell>
          <cell r="N55">
            <v>4</v>
          </cell>
          <cell r="O55">
            <v>240</v>
          </cell>
          <cell r="P55">
            <v>8413.09</v>
          </cell>
          <cell r="Q55">
            <v>981</v>
          </cell>
          <cell r="R55">
            <v>63</v>
          </cell>
          <cell r="S55">
            <v>186</v>
          </cell>
          <cell r="T55">
            <v>1230</v>
          </cell>
          <cell r="U55">
            <v>7183.09</v>
          </cell>
        </row>
        <row r="56">
          <cell r="A56">
            <v>46</v>
          </cell>
          <cell r="B56">
            <v>99135028</v>
          </cell>
          <cell r="C56" t="str">
            <v>MOHAMMAD AHASAN</v>
          </cell>
          <cell r="D56" t="str">
            <v>HASAN</v>
          </cell>
          <cell r="E56" t="str">
            <v>101011530005</v>
          </cell>
          <cell r="F56" t="str">
            <v>6114370942</v>
          </cell>
          <cell r="G56" t="str">
            <v>HELPER</v>
          </cell>
          <cell r="H56">
            <v>15</v>
          </cell>
          <cell r="I56">
            <v>0</v>
          </cell>
          <cell r="J56">
            <v>0</v>
          </cell>
          <cell r="K56">
            <v>15</v>
          </cell>
          <cell r="L56">
            <v>480.77</v>
          </cell>
          <cell r="M56">
            <v>7211.5499999999993</v>
          </cell>
          <cell r="N56">
            <v>8</v>
          </cell>
          <cell r="O56">
            <v>481</v>
          </cell>
          <cell r="P56">
            <v>7692.5499999999993</v>
          </cell>
          <cell r="Q56">
            <v>865</v>
          </cell>
          <cell r="R56">
            <v>58</v>
          </cell>
          <cell r="S56">
            <v>50</v>
          </cell>
          <cell r="T56">
            <v>973</v>
          </cell>
          <cell r="U56">
            <v>6719.5499999999993</v>
          </cell>
        </row>
        <row r="57">
          <cell r="A57">
            <v>47</v>
          </cell>
          <cell r="B57">
            <v>99135274</v>
          </cell>
          <cell r="C57" t="str">
            <v>SACHIN</v>
          </cell>
          <cell r="D57" t="str">
            <v>KRISHNPAL</v>
          </cell>
          <cell r="E57" t="str">
            <v>100698184036</v>
          </cell>
          <cell r="F57" t="str">
            <v>6114464227</v>
          </cell>
          <cell r="G57" t="str">
            <v>HELPER</v>
          </cell>
          <cell r="H57">
            <v>25</v>
          </cell>
          <cell r="I57">
            <v>0</v>
          </cell>
          <cell r="J57">
            <v>0</v>
          </cell>
          <cell r="K57">
            <v>25</v>
          </cell>
          <cell r="L57">
            <v>480.77</v>
          </cell>
          <cell r="M57">
            <v>12019.25</v>
          </cell>
          <cell r="N57">
            <v>0</v>
          </cell>
          <cell r="O57">
            <v>0</v>
          </cell>
          <cell r="P57">
            <v>12019.25</v>
          </cell>
          <cell r="Q57">
            <v>1442</v>
          </cell>
          <cell r="R57">
            <v>90</v>
          </cell>
          <cell r="S57">
            <v>100</v>
          </cell>
          <cell r="T57">
            <v>1632</v>
          </cell>
          <cell r="U57">
            <v>10387.25</v>
          </cell>
        </row>
        <row r="58">
          <cell r="A58">
            <v>48</v>
          </cell>
          <cell r="B58">
            <v>99135605</v>
          </cell>
          <cell r="C58" t="str">
            <v>HUKUM SINGH</v>
          </cell>
          <cell r="D58" t="str">
            <v>SHYAM SINGH</v>
          </cell>
          <cell r="E58" t="str">
            <v>102090112067</v>
          </cell>
          <cell r="G58" t="str">
            <v>HELPER</v>
          </cell>
          <cell r="H58">
            <v>10</v>
          </cell>
          <cell r="I58">
            <v>0</v>
          </cell>
          <cell r="J58">
            <v>0</v>
          </cell>
          <cell r="K58">
            <v>10</v>
          </cell>
          <cell r="L58">
            <v>480.77</v>
          </cell>
          <cell r="M58">
            <v>4807.7</v>
          </cell>
          <cell r="N58">
            <v>6</v>
          </cell>
          <cell r="O58">
            <v>361</v>
          </cell>
          <cell r="P58">
            <v>5168.7</v>
          </cell>
          <cell r="Q58">
            <v>577</v>
          </cell>
          <cell r="R58">
            <v>39</v>
          </cell>
          <cell r="T58">
            <v>616</v>
          </cell>
          <cell r="U58">
            <v>4552.7</v>
          </cell>
        </row>
        <row r="59">
          <cell r="A59">
            <v>49</v>
          </cell>
          <cell r="B59">
            <v>99135607</v>
          </cell>
          <cell r="C59" t="str">
            <v>HIMANSHU</v>
          </cell>
          <cell r="D59" t="str">
            <v>HUKUM SINGH</v>
          </cell>
          <cell r="E59" t="str">
            <v>102173302156</v>
          </cell>
          <cell r="G59" t="str">
            <v>HELPER</v>
          </cell>
          <cell r="H59">
            <v>24</v>
          </cell>
          <cell r="I59">
            <v>0</v>
          </cell>
          <cell r="J59">
            <v>0</v>
          </cell>
          <cell r="K59">
            <v>24</v>
          </cell>
          <cell r="L59">
            <v>480.77</v>
          </cell>
          <cell r="M59">
            <v>11538.48</v>
          </cell>
          <cell r="N59">
            <v>7</v>
          </cell>
          <cell r="O59">
            <v>421</v>
          </cell>
          <cell r="P59">
            <v>11959.48</v>
          </cell>
          <cell r="Q59">
            <v>1385</v>
          </cell>
          <cell r="R59">
            <v>90</v>
          </cell>
          <cell r="S59">
            <v>300</v>
          </cell>
          <cell r="T59">
            <v>1775</v>
          </cell>
          <cell r="U59">
            <v>10184.48</v>
          </cell>
        </row>
        <row r="60">
          <cell r="A60">
            <v>50</v>
          </cell>
          <cell r="B60">
            <v>99135611</v>
          </cell>
          <cell r="C60" t="str">
            <v>KULDEEP</v>
          </cell>
          <cell r="D60" t="str">
            <v>SUMMARA</v>
          </cell>
          <cell r="E60" t="str">
            <v>101426106691</v>
          </cell>
          <cell r="G60" t="str">
            <v>HELPER</v>
          </cell>
          <cell r="H60">
            <v>14</v>
          </cell>
          <cell r="I60">
            <v>0</v>
          </cell>
          <cell r="J60">
            <v>0</v>
          </cell>
          <cell r="K60">
            <v>14</v>
          </cell>
          <cell r="L60">
            <v>480.77</v>
          </cell>
          <cell r="M60">
            <v>6730.78</v>
          </cell>
          <cell r="N60">
            <v>20</v>
          </cell>
          <cell r="O60">
            <v>1202</v>
          </cell>
          <cell r="P60">
            <v>7932.78</v>
          </cell>
          <cell r="Q60">
            <v>808</v>
          </cell>
          <cell r="R60">
            <v>59</v>
          </cell>
          <cell r="T60">
            <v>867</v>
          </cell>
          <cell r="U60">
            <v>7065.78</v>
          </cell>
        </row>
        <row r="61">
          <cell r="A61">
            <v>51</v>
          </cell>
          <cell r="B61">
            <v>99135760</v>
          </cell>
          <cell r="C61" t="str">
            <v>DEVENDRA KUMAR</v>
          </cell>
          <cell r="D61" t="str">
            <v>DHARAMVEER</v>
          </cell>
          <cell r="E61" t="str">
            <v>100988958654</v>
          </cell>
          <cell r="G61" t="str">
            <v>HELPER</v>
          </cell>
          <cell r="H61">
            <v>21</v>
          </cell>
          <cell r="I61">
            <v>0</v>
          </cell>
          <cell r="J61">
            <v>0</v>
          </cell>
          <cell r="K61">
            <v>21</v>
          </cell>
          <cell r="L61">
            <v>480.77</v>
          </cell>
          <cell r="M61">
            <v>10096.17</v>
          </cell>
          <cell r="N61">
            <v>20</v>
          </cell>
          <cell r="O61">
            <v>1202</v>
          </cell>
          <cell r="P61">
            <v>11298.17</v>
          </cell>
          <cell r="Q61">
            <v>1212</v>
          </cell>
          <cell r="R61">
            <v>85</v>
          </cell>
          <cell r="T61">
            <v>1297</v>
          </cell>
          <cell r="U61">
            <v>10001.17</v>
          </cell>
        </row>
        <row r="62">
          <cell r="A62">
            <v>52</v>
          </cell>
          <cell r="B62">
            <v>72232205</v>
          </cell>
          <cell r="C62" t="str">
            <v>JAGENDRA</v>
          </cell>
          <cell r="D62" t="str">
            <v>AJAYPAL</v>
          </cell>
          <cell r="E62" t="str">
            <v>101358281203</v>
          </cell>
          <cell r="G62" t="str">
            <v>HELPER</v>
          </cell>
          <cell r="H62">
            <v>9</v>
          </cell>
          <cell r="I62">
            <v>0</v>
          </cell>
          <cell r="J62">
            <v>0</v>
          </cell>
          <cell r="K62">
            <v>9</v>
          </cell>
          <cell r="L62">
            <v>480.77</v>
          </cell>
          <cell r="M62">
            <v>4326.93</v>
          </cell>
          <cell r="N62">
            <v>1</v>
          </cell>
          <cell r="O62">
            <v>60</v>
          </cell>
          <cell r="P62">
            <v>4386.93</v>
          </cell>
          <cell r="Q62">
            <v>519</v>
          </cell>
          <cell r="R62">
            <v>33</v>
          </cell>
          <cell r="S62">
            <v>212</v>
          </cell>
          <cell r="T62">
            <v>764</v>
          </cell>
          <cell r="U62">
            <v>3622.9300000000003</v>
          </cell>
        </row>
        <row r="63">
          <cell r="A63">
            <v>53</v>
          </cell>
          <cell r="B63">
            <v>99124081</v>
          </cell>
          <cell r="C63" t="str">
            <v>AMIT KUMAR</v>
          </cell>
          <cell r="D63" t="str">
            <v>RAMPAL SINGH</v>
          </cell>
          <cell r="E63" t="str">
            <v>102209879690</v>
          </cell>
          <cell r="G63" t="str">
            <v>HELPER</v>
          </cell>
          <cell r="H63">
            <v>21</v>
          </cell>
          <cell r="I63">
            <v>0</v>
          </cell>
          <cell r="J63">
            <v>0</v>
          </cell>
          <cell r="K63">
            <v>21</v>
          </cell>
          <cell r="L63">
            <v>480.77</v>
          </cell>
          <cell r="M63">
            <v>10096.17</v>
          </cell>
          <cell r="N63">
            <v>16</v>
          </cell>
          <cell r="O63">
            <v>962</v>
          </cell>
          <cell r="P63">
            <v>11058.17</v>
          </cell>
          <cell r="Q63">
            <v>1212</v>
          </cell>
          <cell r="R63">
            <v>83</v>
          </cell>
          <cell r="S63">
            <v>50</v>
          </cell>
          <cell r="T63">
            <v>1345</v>
          </cell>
          <cell r="U63">
            <v>9713.17</v>
          </cell>
        </row>
        <row r="64">
          <cell r="A64">
            <v>54</v>
          </cell>
          <cell r="B64">
            <v>99124082</v>
          </cell>
          <cell r="C64" t="str">
            <v>JOGENDRA KUMAR</v>
          </cell>
          <cell r="D64" t="str">
            <v>KARM SINGH</v>
          </cell>
          <cell r="E64" t="str">
            <v>1022075110005</v>
          </cell>
          <cell r="G64" t="str">
            <v>HELPER</v>
          </cell>
          <cell r="H64">
            <v>26</v>
          </cell>
          <cell r="I64">
            <v>0</v>
          </cell>
          <cell r="J64">
            <v>0</v>
          </cell>
          <cell r="K64">
            <v>26</v>
          </cell>
          <cell r="L64">
            <v>480.77</v>
          </cell>
          <cell r="M64">
            <v>12500.02</v>
          </cell>
          <cell r="N64">
            <v>34</v>
          </cell>
          <cell r="O64">
            <v>2043</v>
          </cell>
          <cell r="P64">
            <v>14543.02</v>
          </cell>
          <cell r="Q64">
            <v>1500</v>
          </cell>
          <cell r="R64">
            <v>109</v>
          </cell>
          <cell r="S64">
            <v>250</v>
          </cell>
          <cell r="T64">
            <v>1859</v>
          </cell>
          <cell r="U64">
            <v>12684.02</v>
          </cell>
        </row>
        <row r="65">
          <cell r="A65">
            <v>55</v>
          </cell>
          <cell r="B65">
            <v>99134610</v>
          </cell>
          <cell r="C65" t="str">
            <v>SHEKHAR</v>
          </cell>
          <cell r="D65" t="str">
            <v>UDESH</v>
          </cell>
          <cell r="E65" t="str">
            <v>101243458722</v>
          </cell>
          <cell r="G65" t="str">
            <v>HELPER</v>
          </cell>
          <cell r="H65">
            <v>12</v>
          </cell>
          <cell r="I65">
            <v>0</v>
          </cell>
          <cell r="J65">
            <v>0</v>
          </cell>
          <cell r="K65">
            <v>12</v>
          </cell>
          <cell r="L65">
            <v>480.77</v>
          </cell>
          <cell r="M65">
            <v>5769.24</v>
          </cell>
          <cell r="N65">
            <v>6</v>
          </cell>
          <cell r="O65">
            <v>361</v>
          </cell>
          <cell r="P65">
            <v>6130.24</v>
          </cell>
          <cell r="Q65">
            <v>692</v>
          </cell>
          <cell r="R65">
            <v>46</v>
          </cell>
          <cell r="T65">
            <v>738</v>
          </cell>
          <cell r="U65">
            <v>5392.24</v>
          </cell>
        </row>
        <row r="66">
          <cell r="A66">
            <v>56</v>
          </cell>
          <cell r="B66">
            <v>99136181</v>
          </cell>
          <cell r="C66" t="str">
            <v>VISHAL</v>
          </cell>
          <cell r="D66" t="str">
            <v>VIJAY</v>
          </cell>
          <cell r="E66" t="str">
            <v>101886899685</v>
          </cell>
          <cell r="G66" t="str">
            <v>HELPER</v>
          </cell>
          <cell r="H66">
            <v>1</v>
          </cell>
          <cell r="I66">
            <v>0</v>
          </cell>
          <cell r="J66">
            <v>0</v>
          </cell>
          <cell r="K66">
            <v>1</v>
          </cell>
          <cell r="L66">
            <v>480.77</v>
          </cell>
          <cell r="M66">
            <v>480.77</v>
          </cell>
          <cell r="N66">
            <v>0</v>
          </cell>
          <cell r="O66">
            <v>0</v>
          </cell>
          <cell r="P66">
            <v>480.77</v>
          </cell>
          <cell r="Q66">
            <v>58</v>
          </cell>
          <cell r="R66">
            <v>4</v>
          </cell>
          <cell r="S66">
            <v>12</v>
          </cell>
          <cell r="T66">
            <v>74</v>
          </cell>
          <cell r="U66">
            <v>406.77</v>
          </cell>
        </row>
        <row r="67">
          <cell r="A67">
            <v>57</v>
          </cell>
          <cell r="B67">
            <v>72222009</v>
          </cell>
          <cell r="C67" t="str">
            <v>ANKIT KUMAR</v>
          </cell>
          <cell r="D67" t="str">
            <v>DHARMVEER</v>
          </cell>
          <cell r="E67" t="str">
            <v/>
          </cell>
          <cell r="G67" t="str">
            <v>HELPER</v>
          </cell>
          <cell r="H67">
            <v>16</v>
          </cell>
          <cell r="I67">
            <v>0</v>
          </cell>
          <cell r="J67">
            <v>0</v>
          </cell>
          <cell r="K67">
            <v>16</v>
          </cell>
          <cell r="L67">
            <v>480.77</v>
          </cell>
          <cell r="M67">
            <v>7692.32</v>
          </cell>
          <cell r="N67">
            <v>8</v>
          </cell>
          <cell r="O67">
            <v>481</v>
          </cell>
          <cell r="P67">
            <v>8173.32</v>
          </cell>
          <cell r="Q67">
            <v>923</v>
          </cell>
          <cell r="R67">
            <v>61</v>
          </cell>
          <cell r="S67">
            <v>350</v>
          </cell>
          <cell r="T67">
            <v>1334</v>
          </cell>
          <cell r="U67">
            <v>6839.32</v>
          </cell>
        </row>
        <row r="68">
          <cell r="A68">
            <v>58</v>
          </cell>
          <cell r="B68">
            <v>72232158</v>
          </cell>
          <cell r="C68" t="str">
            <v>KHILENDRA</v>
          </cell>
          <cell r="D68" t="str">
            <v>JUGDISH SINGH</v>
          </cell>
          <cell r="E68" t="str">
            <v>101277469285</v>
          </cell>
          <cell r="G68" t="str">
            <v>HELPER</v>
          </cell>
          <cell r="H68">
            <v>23</v>
          </cell>
          <cell r="I68">
            <v>0</v>
          </cell>
          <cell r="J68">
            <v>0</v>
          </cell>
          <cell r="K68">
            <v>23</v>
          </cell>
          <cell r="L68">
            <v>480.77</v>
          </cell>
          <cell r="M68">
            <v>11057.71</v>
          </cell>
          <cell r="N68">
            <v>1</v>
          </cell>
          <cell r="O68">
            <v>60</v>
          </cell>
          <cell r="P68">
            <v>11117.71</v>
          </cell>
          <cell r="Q68">
            <v>1327</v>
          </cell>
          <cell r="R68">
            <v>83</v>
          </cell>
          <cell r="T68">
            <v>1410</v>
          </cell>
          <cell r="U68">
            <v>9707.7099999999991</v>
          </cell>
        </row>
        <row r="69">
          <cell r="A69">
            <v>59</v>
          </cell>
          <cell r="B69">
            <v>99124196</v>
          </cell>
          <cell r="C69" t="str">
            <v>ROHIT</v>
          </cell>
          <cell r="D69" t="str">
            <v>RAM KARAN</v>
          </cell>
          <cell r="E69" t="str">
            <v>102214634718</v>
          </cell>
          <cell r="G69" t="str">
            <v>HELPER</v>
          </cell>
          <cell r="H69">
            <v>26</v>
          </cell>
          <cell r="I69">
            <v>0</v>
          </cell>
          <cell r="J69">
            <v>0</v>
          </cell>
          <cell r="K69">
            <v>26</v>
          </cell>
          <cell r="L69">
            <v>480.77</v>
          </cell>
          <cell r="M69">
            <v>12500.02</v>
          </cell>
          <cell r="N69">
            <v>49</v>
          </cell>
          <cell r="O69">
            <v>2945</v>
          </cell>
          <cell r="P69">
            <v>15445.02</v>
          </cell>
          <cell r="Q69">
            <v>1500</v>
          </cell>
          <cell r="R69">
            <v>116</v>
          </cell>
          <cell r="S69">
            <v>200</v>
          </cell>
          <cell r="T69">
            <v>1816</v>
          </cell>
          <cell r="U69">
            <v>13629.02</v>
          </cell>
        </row>
        <row r="70">
          <cell r="A70">
            <v>60</v>
          </cell>
          <cell r="B70">
            <v>99124170</v>
          </cell>
          <cell r="C70" t="str">
            <v>GAURAV</v>
          </cell>
          <cell r="D70" t="str">
            <v>SARBOJ SINGH</v>
          </cell>
          <cell r="E70" t="str">
            <v>101454761820</v>
          </cell>
          <cell r="G70" t="str">
            <v>HELPER</v>
          </cell>
          <cell r="H70">
            <v>17</v>
          </cell>
          <cell r="I70">
            <v>0</v>
          </cell>
          <cell r="J70">
            <v>0</v>
          </cell>
          <cell r="K70">
            <v>17</v>
          </cell>
          <cell r="L70">
            <v>480.77</v>
          </cell>
          <cell r="M70">
            <v>8173.09</v>
          </cell>
          <cell r="N70">
            <v>4</v>
          </cell>
          <cell r="O70">
            <v>240</v>
          </cell>
          <cell r="P70">
            <v>8413.09</v>
          </cell>
          <cell r="Q70">
            <v>981</v>
          </cell>
          <cell r="R70">
            <v>63</v>
          </cell>
          <cell r="T70">
            <v>1044</v>
          </cell>
          <cell r="U70">
            <v>7369.09</v>
          </cell>
        </row>
        <row r="71">
          <cell r="A71">
            <v>61</v>
          </cell>
          <cell r="B71">
            <v>72232184</v>
          </cell>
          <cell r="C71" t="str">
            <v>BHAWAN SINGH</v>
          </cell>
          <cell r="D71" t="str">
            <v>HARPAL</v>
          </cell>
          <cell r="E71" t="str">
            <v>101929143239</v>
          </cell>
          <cell r="G71" t="str">
            <v>HELPER</v>
          </cell>
          <cell r="H71">
            <v>6</v>
          </cell>
          <cell r="I71">
            <v>0</v>
          </cell>
          <cell r="J71">
            <v>0</v>
          </cell>
          <cell r="K71">
            <v>6</v>
          </cell>
          <cell r="L71">
            <v>480.77</v>
          </cell>
          <cell r="M71">
            <v>2884.62</v>
          </cell>
          <cell r="N71">
            <v>0</v>
          </cell>
          <cell r="O71">
            <v>0</v>
          </cell>
          <cell r="P71">
            <v>2884.62</v>
          </cell>
          <cell r="Q71">
            <v>346</v>
          </cell>
          <cell r="R71">
            <v>22</v>
          </cell>
          <cell r="T71">
            <v>368</v>
          </cell>
          <cell r="U71">
            <v>2516.62</v>
          </cell>
        </row>
        <row r="72">
          <cell r="A72">
            <v>62</v>
          </cell>
          <cell r="B72">
            <v>99124712</v>
          </cell>
          <cell r="C72" t="str">
            <v>AJAY</v>
          </cell>
          <cell r="D72" t="str">
            <v>ROSHAN</v>
          </cell>
          <cell r="E72" t="str">
            <v>102277278461</v>
          </cell>
          <cell r="G72" t="str">
            <v>HELPER</v>
          </cell>
          <cell r="H72">
            <v>11</v>
          </cell>
          <cell r="I72">
            <v>0</v>
          </cell>
          <cell r="J72">
            <v>0</v>
          </cell>
          <cell r="K72">
            <v>11</v>
          </cell>
          <cell r="L72">
            <v>542.04</v>
          </cell>
          <cell r="M72">
            <v>5962.44</v>
          </cell>
          <cell r="N72">
            <v>5</v>
          </cell>
          <cell r="O72">
            <v>339</v>
          </cell>
          <cell r="P72">
            <v>6301.44</v>
          </cell>
          <cell r="Q72">
            <v>715</v>
          </cell>
          <cell r="R72">
            <v>47</v>
          </cell>
          <cell r="T72">
            <v>762</v>
          </cell>
          <cell r="U72">
            <v>5539.44</v>
          </cell>
        </row>
        <row r="73">
          <cell r="A73">
            <v>63</v>
          </cell>
          <cell r="B73">
            <v>99134845</v>
          </cell>
          <cell r="C73" t="str">
            <v>NAUSHAD</v>
          </cell>
          <cell r="D73" t="str">
            <v>SALEEM</v>
          </cell>
          <cell r="E73" t="str">
            <v>102120466436</v>
          </cell>
          <cell r="G73" t="str">
            <v>HELPER</v>
          </cell>
          <cell r="H73">
            <v>15</v>
          </cell>
          <cell r="I73">
            <v>0</v>
          </cell>
          <cell r="J73">
            <v>0</v>
          </cell>
          <cell r="K73">
            <v>15</v>
          </cell>
          <cell r="L73">
            <v>480.77</v>
          </cell>
          <cell r="M73">
            <v>7211.5499999999993</v>
          </cell>
          <cell r="N73">
            <v>0</v>
          </cell>
          <cell r="O73">
            <v>0</v>
          </cell>
          <cell r="P73">
            <v>7211.5499999999993</v>
          </cell>
          <cell r="Q73">
            <v>865</v>
          </cell>
          <cell r="R73">
            <v>54</v>
          </cell>
          <cell r="S73">
            <v>100</v>
          </cell>
          <cell r="T73">
            <v>1019</v>
          </cell>
          <cell r="U73">
            <v>6192.5499999999993</v>
          </cell>
        </row>
        <row r="74">
          <cell r="A74">
            <v>64</v>
          </cell>
          <cell r="B74">
            <v>99134921</v>
          </cell>
          <cell r="C74" t="str">
            <v>AJAY KUMAR</v>
          </cell>
          <cell r="D74" t="str">
            <v>SANDEEP</v>
          </cell>
          <cell r="E74" t="str">
            <v>101891035575</v>
          </cell>
          <cell r="G74" t="str">
            <v>HELPER</v>
          </cell>
          <cell r="H74">
            <v>1</v>
          </cell>
          <cell r="I74">
            <v>0</v>
          </cell>
          <cell r="J74">
            <v>0</v>
          </cell>
          <cell r="K74">
            <v>1</v>
          </cell>
          <cell r="L74">
            <v>480.77</v>
          </cell>
          <cell r="M74">
            <v>480.77</v>
          </cell>
          <cell r="N74">
            <v>0</v>
          </cell>
          <cell r="O74">
            <v>0</v>
          </cell>
          <cell r="P74">
            <v>480.77</v>
          </cell>
          <cell r="Q74">
            <v>58</v>
          </cell>
          <cell r="R74">
            <v>4</v>
          </cell>
          <cell r="S74">
            <v>250</v>
          </cell>
          <cell r="T74">
            <v>312</v>
          </cell>
          <cell r="U74">
            <v>168.76999999999998</v>
          </cell>
        </row>
        <row r="75">
          <cell r="A75">
            <v>65</v>
          </cell>
          <cell r="B75">
            <v>99135691</v>
          </cell>
          <cell r="C75" t="str">
            <v>RAKIB</v>
          </cell>
          <cell r="D75" t="str">
            <v>IRFAN</v>
          </cell>
          <cell r="E75" t="str">
            <v>102177219209</v>
          </cell>
          <cell r="G75" t="str">
            <v>HELPER</v>
          </cell>
          <cell r="H75">
            <v>27</v>
          </cell>
          <cell r="I75">
            <v>0</v>
          </cell>
          <cell r="J75">
            <v>0</v>
          </cell>
          <cell r="K75">
            <v>27</v>
          </cell>
          <cell r="L75">
            <v>480.77</v>
          </cell>
          <cell r="M75">
            <v>12980.789999999999</v>
          </cell>
          <cell r="N75">
            <v>7</v>
          </cell>
          <cell r="O75">
            <v>421</v>
          </cell>
          <cell r="P75">
            <v>13401.789999999999</v>
          </cell>
          <cell r="Q75">
            <v>1558</v>
          </cell>
          <cell r="R75">
            <v>101</v>
          </cell>
          <cell r="T75">
            <v>1659</v>
          </cell>
          <cell r="U75">
            <v>11742.789999999999</v>
          </cell>
        </row>
        <row r="76">
          <cell r="A76">
            <v>66</v>
          </cell>
          <cell r="B76">
            <v>99136279</v>
          </cell>
          <cell r="C76" t="str">
            <v>VISHAL KUMAR</v>
          </cell>
          <cell r="D76" t="str">
            <v>RAGHUVEER SINGH</v>
          </cell>
          <cell r="E76" t="str">
            <v>101815765052</v>
          </cell>
          <cell r="G76" t="str">
            <v>HELPER</v>
          </cell>
          <cell r="H76">
            <v>22</v>
          </cell>
          <cell r="I76">
            <v>0</v>
          </cell>
          <cell r="J76">
            <v>0</v>
          </cell>
          <cell r="K76">
            <v>22</v>
          </cell>
          <cell r="L76">
            <v>480.77</v>
          </cell>
          <cell r="M76">
            <v>10576.939999999999</v>
          </cell>
          <cell r="N76">
            <v>17</v>
          </cell>
          <cell r="O76">
            <v>1022</v>
          </cell>
          <cell r="P76">
            <v>11598.939999999999</v>
          </cell>
          <cell r="Q76">
            <v>1269</v>
          </cell>
          <cell r="R76">
            <v>87</v>
          </cell>
          <cell r="S76">
            <v>24</v>
          </cell>
          <cell r="T76">
            <v>1380</v>
          </cell>
          <cell r="U76">
            <v>10218.939999999999</v>
          </cell>
        </row>
        <row r="77">
          <cell r="A77">
            <v>67</v>
          </cell>
          <cell r="B77">
            <v>99136379</v>
          </cell>
          <cell r="C77" t="str">
            <v>ABHISHEK</v>
          </cell>
          <cell r="D77" t="str">
            <v>LEKHKHA</v>
          </cell>
          <cell r="E77" t="str">
            <v>101699337393</v>
          </cell>
          <cell r="G77" t="str">
            <v>HELPER</v>
          </cell>
          <cell r="H77">
            <v>20</v>
          </cell>
          <cell r="I77">
            <v>0</v>
          </cell>
          <cell r="J77">
            <v>0</v>
          </cell>
          <cell r="K77">
            <v>20</v>
          </cell>
          <cell r="L77">
            <v>480.77</v>
          </cell>
          <cell r="M77">
            <v>9615.4</v>
          </cell>
          <cell r="N77">
            <v>22</v>
          </cell>
          <cell r="O77">
            <v>1322</v>
          </cell>
          <cell r="P77">
            <v>10937.4</v>
          </cell>
          <cell r="Q77">
            <v>1154</v>
          </cell>
          <cell r="R77">
            <v>82</v>
          </cell>
          <cell r="S77">
            <v>150</v>
          </cell>
          <cell r="T77">
            <v>1386</v>
          </cell>
          <cell r="U77">
            <v>9551.4</v>
          </cell>
        </row>
        <row r="78">
          <cell r="A78">
            <v>68</v>
          </cell>
          <cell r="B78">
            <v>99135240</v>
          </cell>
          <cell r="C78" t="str">
            <v>RAVI</v>
          </cell>
          <cell r="D78" t="str">
            <v>TARA CHAND</v>
          </cell>
          <cell r="E78" t="str">
            <v>102155529843</v>
          </cell>
          <cell r="G78" t="str">
            <v>HELPER</v>
          </cell>
          <cell r="H78">
            <v>21</v>
          </cell>
          <cell r="I78">
            <v>0</v>
          </cell>
          <cell r="J78">
            <v>0</v>
          </cell>
          <cell r="K78">
            <v>21</v>
          </cell>
          <cell r="L78">
            <v>480.77</v>
          </cell>
          <cell r="M78">
            <v>10096.17</v>
          </cell>
          <cell r="N78">
            <v>6</v>
          </cell>
          <cell r="O78">
            <v>361</v>
          </cell>
          <cell r="P78">
            <v>10457.17</v>
          </cell>
          <cell r="Q78">
            <v>1212</v>
          </cell>
          <cell r="R78">
            <v>78</v>
          </cell>
          <cell r="S78">
            <v>412</v>
          </cell>
          <cell r="T78">
            <v>1702</v>
          </cell>
          <cell r="U78">
            <v>8755.17</v>
          </cell>
        </row>
        <row r="79">
          <cell r="A79">
            <v>69</v>
          </cell>
          <cell r="B79">
            <v>99136381</v>
          </cell>
          <cell r="C79" t="str">
            <v>UJAYFA</v>
          </cell>
          <cell r="D79" t="str">
            <v>SABIR</v>
          </cell>
          <cell r="E79" t="str">
            <v>102211324433</v>
          </cell>
          <cell r="G79" t="str">
            <v>HELPER</v>
          </cell>
          <cell r="H79">
            <v>27</v>
          </cell>
          <cell r="I79">
            <v>0</v>
          </cell>
          <cell r="J79">
            <v>0</v>
          </cell>
          <cell r="K79">
            <v>27</v>
          </cell>
          <cell r="L79">
            <v>480.77</v>
          </cell>
          <cell r="M79">
            <v>12980.789999999999</v>
          </cell>
          <cell r="N79">
            <v>7</v>
          </cell>
          <cell r="O79">
            <v>421</v>
          </cell>
          <cell r="P79">
            <v>13401.789999999999</v>
          </cell>
          <cell r="Q79">
            <v>1558</v>
          </cell>
          <cell r="R79">
            <v>101</v>
          </cell>
          <cell r="S79">
            <v>50</v>
          </cell>
          <cell r="T79">
            <v>1709</v>
          </cell>
          <cell r="U79">
            <v>11692.789999999999</v>
          </cell>
        </row>
        <row r="80">
          <cell r="A80">
            <v>70</v>
          </cell>
          <cell r="B80">
            <v>99136422</v>
          </cell>
          <cell r="C80" t="str">
            <v>SAURABH</v>
          </cell>
          <cell r="D80" t="str">
            <v>VIKRAM</v>
          </cell>
          <cell r="E80" t="str">
            <v>102211324446</v>
          </cell>
          <cell r="G80" t="str">
            <v>HELPER</v>
          </cell>
          <cell r="H80">
            <v>22</v>
          </cell>
          <cell r="I80">
            <v>0</v>
          </cell>
          <cell r="J80">
            <v>0</v>
          </cell>
          <cell r="K80">
            <v>22</v>
          </cell>
          <cell r="L80">
            <v>480.77</v>
          </cell>
          <cell r="M80">
            <v>10576.939999999999</v>
          </cell>
          <cell r="N80">
            <v>0</v>
          </cell>
          <cell r="O80">
            <v>0</v>
          </cell>
          <cell r="P80">
            <v>10576.939999999999</v>
          </cell>
          <cell r="Q80">
            <v>1269</v>
          </cell>
          <cell r="R80">
            <v>79</v>
          </cell>
          <cell r="S80">
            <v>124</v>
          </cell>
          <cell r="T80">
            <v>1472</v>
          </cell>
          <cell r="U80">
            <v>9104.9399999999987</v>
          </cell>
        </row>
        <row r="81">
          <cell r="A81">
            <v>71</v>
          </cell>
          <cell r="B81">
            <v>99136423</v>
          </cell>
          <cell r="C81" t="str">
            <v>DEEPAK</v>
          </cell>
          <cell r="D81" t="str">
            <v>NEKIRAM</v>
          </cell>
          <cell r="E81" t="str">
            <v>101880112879</v>
          </cell>
          <cell r="G81" t="str">
            <v>HELPER</v>
          </cell>
          <cell r="H81">
            <v>6</v>
          </cell>
          <cell r="I81">
            <v>0</v>
          </cell>
          <cell r="J81">
            <v>0</v>
          </cell>
          <cell r="K81">
            <v>6</v>
          </cell>
          <cell r="L81">
            <v>480.77</v>
          </cell>
          <cell r="M81">
            <v>2884.62</v>
          </cell>
          <cell r="N81">
            <v>0</v>
          </cell>
          <cell r="O81">
            <v>0</v>
          </cell>
          <cell r="P81">
            <v>2884.62</v>
          </cell>
          <cell r="Q81">
            <v>346</v>
          </cell>
          <cell r="R81">
            <v>22</v>
          </cell>
          <cell r="S81">
            <v>50</v>
          </cell>
          <cell r="T81">
            <v>418</v>
          </cell>
          <cell r="U81">
            <v>2466.62</v>
          </cell>
        </row>
        <row r="82">
          <cell r="A82">
            <v>72</v>
          </cell>
          <cell r="B82">
            <v>99124414</v>
          </cell>
          <cell r="C82" t="str">
            <v>ADESH</v>
          </cell>
          <cell r="D82" t="str">
            <v>BALWANT SINGH</v>
          </cell>
          <cell r="E82" t="str">
            <v>101193921718</v>
          </cell>
          <cell r="G82" t="str">
            <v>HELPER</v>
          </cell>
          <cell r="H82">
            <v>27</v>
          </cell>
          <cell r="I82">
            <v>0</v>
          </cell>
          <cell r="J82">
            <v>0</v>
          </cell>
          <cell r="K82">
            <v>27</v>
          </cell>
          <cell r="L82">
            <v>480.77</v>
          </cell>
          <cell r="M82">
            <v>12980.789999999999</v>
          </cell>
          <cell r="N82">
            <v>8</v>
          </cell>
          <cell r="O82">
            <v>481</v>
          </cell>
          <cell r="P82">
            <v>13461.789999999999</v>
          </cell>
          <cell r="Q82">
            <v>1558</v>
          </cell>
          <cell r="R82">
            <v>101</v>
          </cell>
          <cell r="T82">
            <v>1659</v>
          </cell>
          <cell r="U82">
            <v>11802.789999999999</v>
          </cell>
        </row>
        <row r="83">
          <cell r="A83">
            <v>73</v>
          </cell>
          <cell r="B83">
            <v>99134665</v>
          </cell>
          <cell r="C83" t="str">
            <v>VIMAL</v>
          </cell>
          <cell r="D83" t="str">
            <v>BABLU</v>
          </cell>
          <cell r="E83" t="str">
            <v>101335636012</v>
          </cell>
          <cell r="G83" t="str">
            <v>HELPER</v>
          </cell>
          <cell r="H83">
            <v>19</v>
          </cell>
          <cell r="I83">
            <v>0</v>
          </cell>
          <cell r="J83">
            <v>0</v>
          </cell>
          <cell r="K83">
            <v>19</v>
          </cell>
          <cell r="L83">
            <v>480.77</v>
          </cell>
          <cell r="M83">
            <v>9134.6299999999992</v>
          </cell>
          <cell r="N83">
            <v>8</v>
          </cell>
          <cell r="O83">
            <v>481</v>
          </cell>
          <cell r="P83">
            <v>9615.6299999999992</v>
          </cell>
          <cell r="Q83">
            <v>1096</v>
          </cell>
          <cell r="R83">
            <v>72</v>
          </cell>
          <cell r="T83">
            <v>1168</v>
          </cell>
          <cell r="U83">
            <v>8447.6299999999992</v>
          </cell>
        </row>
        <row r="84">
          <cell r="A84">
            <v>74</v>
          </cell>
          <cell r="B84">
            <v>99134789</v>
          </cell>
          <cell r="C84" t="str">
            <v>NARENDER SINGH</v>
          </cell>
          <cell r="D84" t="str">
            <v>NOURATU</v>
          </cell>
          <cell r="E84" t="str">
            <v>102138312749</v>
          </cell>
          <cell r="G84" t="str">
            <v>HELPER</v>
          </cell>
          <cell r="H84">
            <v>20</v>
          </cell>
          <cell r="I84">
            <v>0</v>
          </cell>
          <cell r="J84">
            <v>0</v>
          </cell>
          <cell r="K84">
            <v>20</v>
          </cell>
          <cell r="L84">
            <v>480.77</v>
          </cell>
          <cell r="M84">
            <v>9615.4</v>
          </cell>
          <cell r="N84">
            <v>5</v>
          </cell>
          <cell r="O84">
            <v>300</v>
          </cell>
          <cell r="P84">
            <v>9915.4</v>
          </cell>
          <cell r="Q84">
            <v>1154</v>
          </cell>
          <cell r="R84">
            <v>74</v>
          </cell>
          <cell r="S84">
            <v>100</v>
          </cell>
          <cell r="T84">
            <v>1328</v>
          </cell>
          <cell r="U84">
            <v>8587.4</v>
          </cell>
        </row>
        <row r="85">
          <cell r="A85">
            <v>75</v>
          </cell>
          <cell r="B85">
            <v>99136626</v>
          </cell>
          <cell r="C85" t="str">
            <v>ABHISHEK KUMAR</v>
          </cell>
          <cell r="D85" t="str">
            <v>RAJPAL SINGH</v>
          </cell>
          <cell r="E85" t="str">
            <v>102238929336</v>
          </cell>
          <cell r="G85" t="str">
            <v>HELPER</v>
          </cell>
          <cell r="H85">
            <v>23</v>
          </cell>
          <cell r="I85">
            <v>0</v>
          </cell>
          <cell r="J85">
            <v>0</v>
          </cell>
          <cell r="K85">
            <v>23</v>
          </cell>
          <cell r="L85">
            <v>480.77</v>
          </cell>
          <cell r="M85">
            <v>11057.71</v>
          </cell>
          <cell r="N85">
            <v>9</v>
          </cell>
          <cell r="O85">
            <v>541</v>
          </cell>
          <cell r="P85">
            <v>11598.71</v>
          </cell>
          <cell r="Q85">
            <v>1327</v>
          </cell>
          <cell r="R85">
            <v>87</v>
          </cell>
          <cell r="T85">
            <v>1414</v>
          </cell>
          <cell r="U85">
            <v>10184.709999999999</v>
          </cell>
        </row>
        <row r="86">
          <cell r="A86">
            <v>76</v>
          </cell>
          <cell r="B86">
            <v>99136729</v>
          </cell>
          <cell r="C86" t="str">
            <v>PARSHANT</v>
          </cell>
          <cell r="D86" t="str">
            <v>CHOTE LAL</v>
          </cell>
          <cell r="E86" t="str">
            <v>102236743417</v>
          </cell>
          <cell r="G86" t="str">
            <v>HELPER</v>
          </cell>
          <cell r="H86">
            <v>16</v>
          </cell>
          <cell r="I86">
            <v>0</v>
          </cell>
          <cell r="J86">
            <v>0</v>
          </cell>
          <cell r="K86">
            <v>16</v>
          </cell>
          <cell r="L86">
            <v>480.77</v>
          </cell>
          <cell r="M86">
            <v>7692.32</v>
          </cell>
          <cell r="N86">
            <v>2</v>
          </cell>
          <cell r="O86">
            <v>120</v>
          </cell>
          <cell r="P86">
            <v>7812.32</v>
          </cell>
          <cell r="Q86">
            <v>923</v>
          </cell>
          <cell r="R86">
            <v>59</v>
          </cell>
          <cell r="T86">
            <v>982</v>
          </cell>
          <cell r="U86">
            <v>6830.32</v>
          </cell>
        </row>
        <row r="87">
          <cell r="A87">
            <v>77</v>
          </cell>
          <cell r="B87">
            <v>99124713</v>
          </cell>
          <cell r="C87" t="str">
            <v>FIDDA HUSSAIN</v>
          </cell>
          <cell r="D87" t="str">
            <v>NOOR MOHAMMAD</v>
          </cell>
          <cell r="E87" t="str">
            <v>101624515319</v>
          </cell>
          <cell r="G87" t="str">
            <v>HELPER</v>
          </cell>
          <cell r="H87">
            <v>6</v>
          </cell>
          <cell r="I87">
            <v>0</v>
          </cell>
          <cell r="J87">
            <v>0</v>
          </cell>
          <cell r="K87">
            <v>6</v>
          </cell>
          <cell r="L87">
            <v>480.77</v>
          </cell>
          <cell r="M87">
            <v>2884.62</v>
          </cell>
          <cell r="N87">
            <v>0</v>
          </cell>
          <cell r="O87">
            <v>0</v>
          </cell>
          <cell r="P87">
            <v>2884.62</v>
          </cell>
          <cell r="Q87">
            <v>346</v>
          </cell>
          <cell r="R87">
            <v>22</v>
          </cell>
          <cell r="T87">
            <v>368</v>
          </cell>
          <cell r="U87">
            <v>2516.62</v>
          </cell>
        </row>
        <row r="88">
          <cell r="A88">
            <v>78</v>
          </cell>
          <cell r="B88">
            <v>72232107</v>
          </cell>
          <cell r="C88" t="str">
            <v>SANJU</v>
          </cell>
          <cell r="D88" t="str">
            <v>OMPAL</v>
          </cell>
          <cell r="E88" t="str">
            <v>101092821625</v>
          </cell>
          <cell r="G88" t="str">
            <v>HELPER</v>
          </cell>
          <cell r="H88">
            <v>17</v>
          </cell>
          <cell r="I88">
            <v>0</v>
          </cell>
          <cell r="J88">
            <v>0</v>
          </cell>
          <cell r="K88">
            <v>17</v>
          </cell>
          <cell r="L88">
            <v>480.77</v>
          </cell>
          <cell r="M88">
            <v>8173.09</v>
          </cell>
          <cell r="N88">
            <v>27</v>
          </cell>
          <cell r="O88">
            <v>1623</v>
          </cell>
          <cell r="P88">
            <v>9796.09</v>
          </cell>
          <cell r="Q88">
            <v>981</v>
          </cell>
          <cell r="R88">
            <v>73</v>
          </cell>
          <cell r="S88">
            <v>250</v>
          </cell>
          <cell r="T88">
            <v>1304</v>
          </cell>
          <cell r="U88">
            <v>8492.09</v>
          </cell>
        </row>
        <row r="89">
          <cell r="A89">
            <v>79</v>
          </cell>
          <cell r="B89">
            <v>99134082</v>
          </cell>
          <cell r="C89" t="str">
            <v>ROHIT KUMAR</v>
          </cell>
          <cell r="D89" t="str">
            <v>SATPAL</v>
          </cell>
          <cell r="E89" t="e">
            <v>#N/A</v>
          </cell>
          <cell r="G89" t="str">
            <v>HELPER</v>
          </cell>
          <cell r="H89">
            <v>15</v>
          </cell>
          <cell r="I89">
            <v>0</v>
          </cell>
          <cell r="J89">
            <v>0</v>
          </cell>
          <cell r="K89">
            <v>15</v>
          </cell>
          <cell r="L89">
            <v>480.77</v>
          </cell>
          <cell r="M89">
            <v>7211.5499999999993</v>
          </cell>
          <cell r="N89">
            <v>1</v>
          </cell>
          <cell r="O89">
            <v>60</v>
          </cell>
          <cell r="P89">
            <v>7271.5499999999993</v>
          </cell>
          <cell r="Q89">
            <v>865</v>
          </cell>
          <cell r="R89">
            <v>55</v>
          </cell>
          <cell r="T89">
            <v>920</v>
          </cell>
          <cell r="U89">
            <v>6351.5499999999993</v>
          </cell>
        </row>
        <row r="90">
          <cell r="A90">
            <v>80</v>
          </cell>
          <cell r="B90">
            <v>99136892</v>
          </cell>
          <cell r="C90" t="str">
            <v>BHOPINDRA</v>
          </cell>
          <cell r="D90" t="str">
            <v>GIRIRAJ</v>
          </cell>
          <cell r="E90" t="e">
            <v>#N/A</v>
          </cell>
          <cell r="G90" t="str">
            <v>HELPER</v>
          </cell>
          <cell r="H90">
            <v>18</v>
          </cell>
          <cell r="I90">
            <v>0</v>
          </cell>
          <cell r="J90">
            <v>0</v>
          </cell>
          <cell r="K90">
            <v>18</v>
          </cell>
          <cell r="L90">
            <v>480.77</v>
          </cell>
          <cell r="M90">
            <v>8653.86</v>
          </cell>
          <cell r="N90">
            <v>21</v>
          </cell>
          <cell r="O90">
            <v>1262</v>
          </cell>
          <cell r="P90">
            <v>9915.86</v>
          </cell>
          <cell r="Q90">
            <v>1038</v>
          </cell>
          <cell r="R90">
            <v>74</v>
          </cell>
          <cell r="T90">
            <v>1112</v>
          </cell>
          <cell r="U90">
            <v>8803.86</v>
          </cell>
        </row>
        <row r="91">
          <cell r="A91">
            <v>81</v>
          </cell>
          <cell r="B91">
            <v>99134846</v>
          </cell>
          <cell r="C91" t="str">
            <v>VASEEM</v>
          </cell>
          <cell r="D91" t="str">
            <v>ANEES</v>
          </cell>
          <cell r="E91" t="e">
            <v>#N/A</v>
          </cell>
          <cell r="G91" t="str">
            <v>HELPER</v>
          </cell>
          <cell r="H91">
            <v>2</v>
          </cell>
          <cell r="I91">
            <v>0</v>
          </cell>
          <cell r="J91">
            <v>0</v>
          </cell>
          <cell r="K91">
            <v>2</v>
          </cell>
          <cell r="L91">
            <v>480.77</v>
          </cell>
          <cell r="M91">
            <v>961.54</v>
          </cell>
          <cell r="N91">
            <v>0</v>
          </cell>
          <cell r="O91">
            <v>0</v>
          </cell>
          <cell r="P91">
            <v>961.54</v>
          </cell>
          <cell r="Q91">
            <v>115</v>
          </cell>
          <cell r="R91">
            <v>7</v>
          </cell>
          <cell r="S91">
            <v>50</v>
          </cell>
          <cell r="T91">
            <v>172</v>
          </cell>
          <cell r="U91">
            <v>789.54</v>
          </cell>
        </row>
        <row r="92">
          <cell r="A92">
            <v>82</v>
          </cell>
          <cell r="B92">
            <v>99135486</v>
          </cell>
          <cell r="C92" t="str">
            <v>BRIJESH</v>
          </cell>
          <cell r="D92" t="str">
            <v>MANGERAM</v>
          </cell>
          <cell r="E92" t="e">
            <v>#N/A</v>
          </cell>
          <cell r="G92" t="str">
            <v>HELPER</v>
          </cell>
          <cell r="H92">
            <v>13</v>
          </cell>
          <cell r="I92">
            <v>0</v>
          </cell>
          <cell r="J92">
            <v>0</v>
          </cell>
          <cell r="K92">
            <v>13</v>
          </cell>
          <cell r="L92">
            <v>480.77</v>
          </cell>
          <cell r="M92">
            <v>6250.01</v>
          </cell>
          <cell r="N92">
            <v>0</v>
          </cell>
          <cell r="O92">
            <v>0</v>
          </cell>
          <cell r="P92">
            <v>6250.01</v>
          </cell>
          <cell r="Q92">
            <v>750</v>
          </cell>
          <cell r="R92">
            <v>47</v>
          </cell>
          <cell r="T92">
            <v>797</v>
          </cell>
          <cell r="U92">
            <v>5453.01</v>
          </cell>
        </row>
        <row r="93">
          <cell r="A93">
            <v>83</v>
          </cell>
          <cell r="B93">
            <v>99135487</v>
          </cell>
          <cell r="C93" t="str">
            <v>RAJAN</v>
          </cell>
          <cell r="D93" t="str">
            <v>VINOD</v>
          </cell>
          <cell r="E93" t="e">
            <v>#N/A</v>
          </cell>
          <cell r="G93" t="str">
            <v>HELPER</v>
          </cell>
          <cell r="H93">
            <v>18</v>
          </cell>
          <cell r="I93">
            <v>0</v>
          </cell>
          <cell r="J93">
            <v>0</v>
          </cell>
          <cell r="K93">
            <v>18</v>
          </cell>
          <cell r="L93">
            <v>480.77</v>
          </cell>
          <cell r="M93">
            <v>8653.86</v>
          </cell>
          <cell r="N93">
            <v>8</v>
          </cell>
          <cell r="O93">
            <v>481</v>
          </cell>
          <cell r="P93">
            <v>9134.86</v>
          </cell>
          <cell r="Q93">
            <v>1038</v>
          </cell>
          <cell r="R93">
            <v>69</v>
          </cell>
          <cell r="T93">
            <v>1107</v>
          </cell>
          <cell r="U93">
            <v>8027.8600000000006</v>
          </cell>
        </row>
        <row r="94">
          <cell r="A94">
            <v>84</v>
          </cell>
          <cell r="B94">
            <v>99135488</v>
          </cell>
          <cell r="C94" t="str">
            <v>KULDEEP</v>
          </cell>
          <cell r="D94" t="str">
            <v>SANTRAM</v>
          </cell>
          <cell r="E94" t="e">
            <v>#N/A</v>
          </cell>
          <cell r="G94" t="str">
            <v>HELPER</v>
          </cell>
          <cell r="H94">
            <v>10</v>
          </cell>
          <cell r="I94">
            <v>0.5</v>
          </cell>
          <cell r="J94">
            <v>0</v>
          </cell>
          <cell r="K94">
            <v>9.5</v>
          </cell>
          <cell r="L94">
            <v>480.77</v>
          </cell>
          <cell r="M94">
            <v>4567.3149999999996</v>
          </cell>
          <cell r="N94">
            <v>0</v>
          </cell>
          <cell r="O94">
            <v>0</v>
          </cell>
          <cell r="P94">
            <v>4567.3149999999996</v>
          </cell>
          <cell r="Q94">
            <v>548</v>
          </cell>
          <cell r="R94">
            <v>34</v>
          </cell>
          <cell r="T94">
            <v>582</v>
          </cell>
          <cell r="U94">
            <v>3985.3149999999996</v>
          </cell>
        </row>
        <row r="95">
          <cell r="A95">
            <v>85</v>
          </cell>
          <cell r="B95">
            <v>99135489</v>
          </cell>
          <cell r="C95" t="str">
            <v>NITIN KUMAR</v>
          </cell>
          <cell r="D95" t="str">
            <v>MOHAN</v>
          </cell>
          <cell r="E95" t="e">
            <v>#N/A</v>
          </cell>
          <cell r="G95" t="str">
            <v>HELPER</v>
          </cell>
          <cell r="H95">
            <v>17</v>
          </cell>
          <cell r="I95">
            <v>0</v>
          </cell>
          <cell r="J95">
            <v>0</v>
          </cell>
          <cell r="K95">
            <v>17</v>
          </cell>
          <cell r="L95">
            <v>480.77</v>
          </cell>
          <cell r="M95">
            <v>8173.09</v>
          </cell>
          <cell r="N95">
            <v>16</v>
          </cell>
          <cell r="O95">
            <v>962</v>
          </cell>
          <cell r="P95">
            <v>9135.09</v>
          </cell>
          <cell r="Q95">
            <v>981</v>
          </cell>
          <cell r="R95">
            <v>69</v>
          </cell>
          <cell r="T95">
            <v>1050</v>
          </cell>
          <cell r="U95">
            <v>8085.09</v>
          </cell>
        </row>
        <row r="96">
          <cell r="A96">
            <v>86</v>
          </cell>
          <cell r="B96">
            <v>99135608</v>
          </cell>
          <cell r="C96" t="str">
            <v>AASHIPH</v>
          </cell>
          <cell r="D96" t="str">
            <v>MAHMOOD</v>
          </cell>
          <cell r="E96" t="e">
            <v>#N/A</v>
          </cell>
          <cell r="G96" t="str">
            <v>HELPER</v>
          </cell>
          <cell r="H96">
            <v>4</v>
          </cell>
          <cell r="I96">
            <v>0</v>
          </cell>
          <cell r="J96">
            <v>0</v>
          </cell>
          <cell r="K96">
            <v>4</v>
          </cell>
          <cell r="L96">
            <v>480.77</v>
          </cell>
          <cell r="M96">
            <v>1923.08</v>
          </cell>
          <cell r="N96">
            <v>0</v>
          </cell>
          <cell r="O96">
            <v>0</v>
          </cell>
          <cell r="P96">
            <v>1923.08</v>
          </cell>
          <cell r="Q96">
            <v>231</v>
          </cell>
          <cell r="R96">
            <v>14</v>
          </cell>
          <cell r="T96">
            <v>245</v>
          </cell>
          <cell r="U96">
            <v>1678.08</v>
          </cell>
        </row>
        <row r="97">
          <cell r="A97">
            <v>87</v>
          </cell>
          <cell r="B97">
            <v>99135775</v>
          </cell>
          <cell r="C97" t="str">
            <v>JAVED</v>
          </cell>
          <cell r="D97" t="str">
            <v>RAFIQ KHAN</v>
          </cell>
          <cell r="E97" t="e">
            <v>#N/A</v>
          </cell>
          <cell r="G97" t="str">
            <v>HELPER</v>
          </cell>
          <cell r="H97">
            <v>18</v>
          </cell>
          <cell r="I97">
            <v>0</v>
          </cell>
          <cell r="J97">
            <v>0</v>
          </cell>
          <cell r="K97">
            <v>18</v>
          </cell>
          <cell r="L97">
            <v>480.77</v>
          </cell>
          <cell r="M97">
            <v>8653.86</v>
          </cell>
          <cell r="N97">
            <v>5</v>
          </cell>
          <cell r="O97">
            <v>300</v>
          </cell>
          <cell r="P97">
            <v>8953.86</v>
          </cell>
          <cell r="Q97">
            <v>1038</v>
          </cell>
          <cell r="R97">
            <v>67</v>
          </cell>
          <cell r="T97">
            <v>1105</v>
          </cell>
          <cell r="U97">
            <v>7848.8600000000006</v>
          </cell>
        </row>
        <row r="98">
          <cell r="A98">
            <v>88</v>
          </cell>
          <cell r="B98">
            <v>99135798</v>
          </cell>
          <cell r="C98" t="str">
            <v>AJAY</v>
          </cell>
          <cell r="D98" t="str">
            <v>JODHA</v>
          </cell>
          <cell r="E98" t="e">
            <v>#N/A</v>
          </cell>
          <cell r="G98" t="str">
            <v>HELPER</v>
          </cell>
          <cell r="H98">
            <v>16</v>
          </cell>
          <cell r="I98">
            <v>0</v>
          </cell>
          <cell r="J98">
            <v>0</v>
          </cell>
          <cell r="K98">
            <v>16</v>
          </cell>
          <cell r="L98">
            <v>480.77</v>
          </cell>
          <cell r="M98">
            <v>7692.32</v>
          </cell>
          <cell r="N98">
            <v>9</v>
          </cell>
          <cell r="O98">
            <v>541</v>
          </cell>
          <cell r="P98">
            <v>8233.32</v>
          </cell>
          <cell r="Q98">
            <v>923</v>
          </cell>
          <cell r="R98">
            <v>62</v>
          </cell>
          <cell r="T98">
            <v>985</v>
          </cell>
          <cell r="U98">
            <v>7248.32</v>
          </cell>
        </row>
        <row r="99">
          <cell r="A99">
            <v>89</v>
          </cell>
          <cell r="B99">
            <v>99135878</v>
          </cell>
          <cell r="C99" t="str">
            <v>ABHISHEK</v>
          </cell>
          <cell r="D99" t="str">
            <v>OMPAL</v>
          </cell>
          <cell r="E99" t="e">
            <v>#N/A</v>
          </cell>
          <cell r="G99" t="str">
            <v>HELPER</v>
          </cell>
          <cell r="H99">
            <v>24</v>
          </cell>
          <cell r="I99">
            <v>0</v>
          </cell>
          <cell r="J99">
            <v>0</v>
          </cell>
          <cell r="K99">
            <v>24</v>
          </cell>
          <cell r="L99">
            <v>480.77</v>
          </cell>
          <cell r="M99">
            <v>11538.48</v>
          </cell>
          <cell r="N99">
            <v>21</v>
          </cell>
          <cell r="O99">
            <v>1262</v>
          </cell>
          <cell r="P99">
            <v>12800.48</v>
          </cell>
          <cell r="Q99">
            <v>1385</v>
          </cell>
          <cell r="R99">
            <v>96</v>
          </cell>
          <cell r="T99">
            <v>1481</v>
          </cell>
          <cell r="U99">
            <v>11319.48</v>
          </cell>
        </row>
        <row r="100">
          <cell r="A100">
            <v>90</v>
          </cell>
          <cell r="B100">
            <v>99137166</v>
          </cell>
          <cell r="C100" t="str">
            <v>NITU SINGH</v>
          </cell>
          <cell r="D100" t="str">
            <v>RISHIPAL</v>
          </cell>
          <cell r="E100" t="e">
            <v>#N/A</v>
          </cell>
          <cell r="G100" t="str">
            <v>HELPER</v>
          </cell>
          <cell r="H100">
            <v>18</v>
          </cell>
          <cell r="I100">
            <v>0</v>
          </cell>
          <cell r="J100">
            <v>0</v>
          </cell>
          <cell r="K100">
            <v>18</v>
          </cell>
          <cell r="L100">
            <v>480.77</v>
          </cell>
          <cell r="M100">
            <v>8653.86</v>
          </cell>
          <cell r="N100">
            <v>21</v>
          </cell>
          <cell r="O100">
            <v>1262</v>
          </cell>
          <cell r="P100">
            <v>9915.86</v>
          </cell>
          <cell r="Q100">
            <v>1038</v>
          </cell>
          <cell r="R100">
            <v>74</v>
          </cell>
          <cell r="T100">
            <v>1112</v>
          </cell>
          <cell r="U100">
            <v>8803.86</v>
          </cell>
        </row>
        <row r="101">
          <cell r="A101">
            <v>91</v>
          </cell>
          <cell r="B101">
            <v>99137260</v>
          </cell>
          <cell r="C101" t="str">
            <v>AIJAJ</v>
          </cell>
          <cell r="D101" t="str">
            <v>JIVAN</v>
          </cell>
          <cell r="E101" t="e">
            <v>#N/A</v>
          </cell>
          <cell r="G101" t="str">
            <v>HELPER</v>
          </cell>
          <cell r="H101">
            <v>12</v>
          </cell>
          <cell r="I101">
            <v>0</v>
          </cell>
          <cell r="J101">
            <v>0</v>
          </cell>
          <cell r="K101">
            <v>12</v>
          </cell>
          <cell r="L101">
            <v>480.77</v>
          </cell>
          <cell r="M101">
            <v>5769.24</v>
          </cell>
          <cell r="N101">
            <v>18</v>
          </cell>
          <cell r="O101">
            <v>1082</v>
          </cell>
          <cell r="P101">
            <v>6851.24</v>
          </cell>
          <cell r="Q101">
            <v>692</v>
          </cell>
          <cell r="R101">
            <v>51</v>
          </cell>
          <cell r="T101">
            <v>743</v>
          </cell>
          <cell r="U101">
            <v>6108.24</v>
          </cell>
        </row>
        <row r="102">
          <cell r="A102">
            <v>92</v>
          </cell>
          <cell r="B102">
            <v>99137261</v>
          </cell>
          <cell r="C102" t="str">
            <v>VIKKI</v>
          </cell>
          <cell r="D102" t="str">
            <v>MANGERAM</v>
          </cell>
          <cell r="E102" t="e">
            <v>#N/A</v>
          </cell>
          <cell r="G102" t="str">
            <v>HELPER</v>
          </cell>
          <cell r="H102">
            <v>13</v>
          </cell>
          <cell r="I102">
            <v>0</v>
          </cell>
          <cell r="J102">
            <v>0</v>
          </cell>
          <cell r="K102">
            <v>13</v>
          </cell>
          <cell r="L102">
            <v>480.77</v>
          </cell>
          <cell r="M102">
            <v>6250.01</v>
          </cell>
          <cell r="N102">
            <v>22</v>
          </cell>
          <cell r="O102">
            <v>1322</v>
          </cell>
          <cell r="P102">
            <v>7572.01</v>
          </cell>
          <cell r="Q102">
            <v>750</v>
          </cell>
          <cell r="R102">
            <v>57</v>
          </cell>
          <cell r="S102">
            <v>50</v>
          </cell>
          <cell r="T102">
            <v>857</v>
          </cell>
          <cell r="U102">
            <v>6715.01</v>
          </cell>
        </row>
        <row r="103">
          <cell r="A103">
            <v>93</v>
          </cell>
          <cell r="B103">
            <v>99137262</v>
          </cell>
          <cell r="C103" t="str">
            <v>SHOYAB ALI</v>
          </cell>
          <cell r="D103" t="str">
            <v>SHER ALI</v>
          </cell>
          <cell r="E103" t="e">
            <v>#N/A</v>
          </cell>
          <cell r="G103" t="str">
            <v>HELPER</v>
          </cell>
          <cell r="H103">
            <v>1</v>
          </cell>
          <cell r="I103">
            <v>0</v>
          </cell>
          <cell r="J103">
            <v>0</v>
          </cell>
          <cell r="K103">
            <v>1</v>
          </cell>
          <cell r="L103">
            <v>480.77</v>
          </cell>
          <cell r="M103">
            <v>480.77</v>
          </cell>
          <cell r="N103">
            <v>0</v>
          </cell>
          <cell r="O103">
            <v>0</v>
          </cell>
          <cell r="P103">
            <v>480.77</v>
          </cell>
          <cell r="Q103">
            <v>58</v>
          </cell>
          <cell r="R103">
            <v>4</v>
          </cell>
          <cell r="T103">
            <v>62</v>
          </cell>
          <cell r="U103">
            <v>418.77</v>
          </cell>
        </row>
        <row r="104">
          <cell r="A104" t="str">
            <v>Total</v>
          </cell>
          <cell r="H104">
            <v>1709</v>
          </cell>
          <cell r="I104">
            <v>0.875</v>
          </cell>
          <cell r="J104">
            <v>0</v>
          </cell>
          <cell r="K104">
            <v>1708.125</v>
          </cell>
          <cell r="L104">
            <v>44956.689999999944</v>
          </cell>
          <cell r="M104">
            <v>826178.12624999986</v>
          </cell>
          <cell r="N104">
            <v>1259</v>
          </cell>
          <cell r="O104">
            <v>76472</v>
          </cell>
          <cell r="P104">
            <v>902650.12624999997</v>
          </cell>
          <cell r="Q104">
            <v>99144</v>
          </cell>
          <cell r="R104">
            <v>6767</v>
          </cell>
          <cell r="S104">
            <v>10368</v>
          </cell>
          <cell r="T104">
            <v>116279</v>
          </cell>
          <cell r="U104">
            <v>786371.12624999986</v>
          </cell>
        </row>
        <row r="107">
          <cell r="H107" t="str">
            <v>Paid Days</v>
          </cell>
          <cell r="I107">
            <v>1708.125</v>
          </cell>
        </row>
        <row r="108">
          <cell r="H108" t="str">
            <v>OT Days</v>
          </cell>
          <cell r="I108">
            <v>157.375</v>
          </cell>
        </row>
        <row r="109">
          <cell r="H109" t="str">
            <v>Total Days</v>
          </cell>
          <cell r="I109">
            <v>1865.5</v>
          </cell>
          <cell r="M109" t="str">
            <v>ESI</v>
          </cell>
          <cell r="N109" t="str">
            <v>WAGE</v>
          </cell>
          <cell r="O109">
            <v>7.4999999999999997E-3</v>
          </cell>
          <cell r="P109">
            <v>3.2500000000000001E-2</v>
          </cell>
          <cell r="Q109" t="str">
            <v>Total 4%</v>
          </cell>
        </row>
        <row r="110">
          <cell r="N110">
            <v>902650.12624999997</v>
          </cell>
          <cell r="O110">
            <v>6767</v>
          </cell>
          <cell r="P110">
            <v>29336</v>
          </cell>
          <cell r="Q110">
            <v>36103</v>
          </cell>
        </row>
        <row r="113">
          <cell r="M113" t="str">
            <v>EPF</v>
          </cell>
          <cell r="N113" t="str">
            <v>WAGE</v>
          </cell>
          <cell r="O113">
            <v>0.12</v>
          </cell>
          <cell r="P113">
            <v>0.13</v>
          </cell>
          <cell r="Q113" t="str">
            <v>Total 25 %</v>
          </cell>
        </row>
        <row r="114">
          <cell r="N114">
            <v>826178.12624999986</v>
          </cell>
          <cell r="O114">
            <v>99141.375149999978</v>
          </cell>
          <cell r="P114">
            <v>107403.15641249999</v>
          </cell>
          <cell r="Q114">
            <v>206544.53156249996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EB1F-74F1-4FFC-9296-03B20B69D65C}">
  <sheetPr>
    <tabColor theme="3" tint="0.79998168889431442"/>
  </sheetPr>
  <dimension ref="A1:D2454"/>
  <sheetViews>
    <sheetView tabSelected="1" zoomScale="80" zoomScaleNormal="80" zoomScaleSheetLayoutView="100" workbookViewId="0">
      <selection activeCell="B10" sqref="B10"/>
    </sheetView>
  </sheetViews>
  <sheetFormatPr defaultColWidth="8" defaultRowHeight="13.2" x14ac:dyDescent="0.25"/>
  <cols>
    <col min="1" max="1" width="43.21875" style="2" customWidth="1"/>
    <col min="2" max="2" width="48.21875" style="2" customWidth="1"/>
    <col min="3" max="3" width="4.21875" style="1" customWidth="1"/>
    <col min="4" max="16384" width="8" style="1"/>
  </cols>
  <sheetData>
    <row r="1" spans="1:4" x14ac:dyDescent="0.25">
      <c r="A1" s="20"/>
      <c r="B1" s="20"/>
      <c r="C1" s="20"/>
    </row>
    <row r="2" spans="1:4" ht="13.8" x14ac:dyDescent="0.25">
      <c r="A2" s="18" t="s">
        <v>15</v>
      </c>
      <c r="B2" s="17"/>
      <c r="C2" s="19"/>
      <c r="D2" s="1">
        <v>1</v>
      </c>
    </row>
    <row r="3" spans="1:4" ht="32.25" customHeight="1" x14ac:dyDescent="0.25">
      <c r="A3" s="16" t="s">
        <v>14</v>
      </c>
      <c r="B3" s="15"/>
      <c r="C3" s="19"/>
    </row>
    <row r="4" spans="1:4" ht="13.8" x14ac:dyDescent="0.25">
      <c r="A4" s="14" t="s">
        <v>13</v>
      </c>
      <c r="B4" s="13"/>
      <c r="C4" s="19"/>
    </row>
    <row r="5" spans="1:4" x14ac:dyDescent="0.25">
      <c r="A5" s="6"/>
      <c r="B5" s="5"/>
      <c r="C5" s="19"/>
    </row>
    <row r="6" spans="1:4" ht="48.75" customHeight="1" x14ac:dyDescent="0.25">
      <c r="A6" s="12" t="s">
        <v>12</v>
      </c>
      <c r="B6" s="11" t="str">
        <f>+'[1]FORM XIII'!$F$6</f>
        <v>SORYE CONTRUCTION</v>
      </c>
      <c r="C6" s="19"/>
    </row>
    <row r="7" spans="1:4" x14ac:dyDescent="0.25">
      <c r="A7" s="7" t="s">
        <v>11</v>
      </c>
      <c r="B7" s="7" t="str">
        <f>VLOOKUP(D2,'[1] Wages Sheet FORM XVII'!A$11:U34,3,0)</f>
        <v>SOHANVEER</v>
      </c>
      <c r="C7" s="19"/>
    </row>
    <row r="8" spans="1:4" x14ac:dyDescent="0.25">
      <c r="A8" s="7" t="s">
        <v>10</v>
      </c>
      <c r="B8" s="10" t="s">
        <v>9</v>
      </c>
      <c r="C8" s="19"/>
    </row>
    <row r="9" spans="1:4" x14ac:dyDescent="0.25">
      <c r="A9" s="7" t="s">
        <v>8</v>
      </c>
      <c r="B9" s="9">
        <v>45992</v>
      </c>
      <c r="C9" s="19"/>
    </row>
    <row r="10" spans="1:4" x14ac:dyDescent="0.25">
      <c r="A10" s="7" t="s">
        <v>7</v>
      </c>
      <c r="B10" s="8">
        <f>VLOOKUP(D2,'[1] Wages Sheet FORM XVII'!A$11:U52,11,0)</f>
        <v>23</v>
      </c>
      <c r="C10" s="19"/>
    </row>
    <row r="11" spans="1:4" x14ac:dyDescent="0.25">
      <c r="A11" s="7" t="s">
        <v>6</v>
      </c>
      <c r="B11" s="7">
        <v>0</v>
      </c>
      <c r="C11" s="19"/>
    </row>
    <row r="12" spans="1:4" x14ac:dyDescent="0.25">
      <c r="A12" s="7" t="s">
        <v>5</v>
      </c>
      <c r="B12" s="7">
        <f>VLOOKUP(D2,'[1] Wages Sheet FORM XVII'!A$11:U34,12,0)</f>
        <v>480.77</v>
      </c>
      <c r="C12" s="19"/>
    </row>
    <row r="13" spans="1:4" x14ac:dyDescent="0.25">
      <c r="A13" s="7" t="s">
        <v>4</v>
      </c>
      <c r="B13" s="7">
        <f>VLOOKUP(D2,'[1] Wages Sheet FORM XVII'!A$11:U$34,15,0)</f>
        <v>481</v>
      </c>
      <c r="C13" s="19"/>
    </row>
    <row r="14" spans="1:4" x14ac:dyDescent="0.25">
      <c r="A14" s="7" t="s">
        <v>3</v>
      </c>
      <c r="B14" s="8">
        <f>VLOOKUP(D2,'[1] Wages Sheet FORM XVII'!A$11:U34,17,0)</f>
        <v>1327</v>
      </c>
      <c r="C14" s="19"/>
    </row>
    <row r="15" spans="1:4" x14ac:dyDescent="0.25">
      <c r="A15" s="7" t="s">
        <v>2</v>
      </c>
      <c r="B15" s="8">
        <f>VLOOKUP(D2,'[1] Wages Sheet FORM XVII'!A$11:U34,20,0)</f>
        <v>1414</v>
      </c>
      <c r="C15" s="19"/>
    </row>
    <row r="16" spans="1:4" x14ac:dyDescent="0.25">
      <c r="A16" s="7" t="s">
        <v>1</v>
      </c>
      <c r="B16" s="8">
        <f>VLOOKUP(D2,'[1] Wages Sheet FORM XVII'!A$11:U34,21,0)</f>
        <v>10124.709999999999</v>
      </c>
      <c r="C16" s="19"/>
    </row>
    <row r="17" spans="1:4" x14ac:dyDescent="0.25">
      <c r="A17" s="7"/>
      <c r="B17" s="7"/>
      <c r="C17" s="19"/>
    </row>
    <row r="18" spans="1:4" x14ac:dyDescent="0.25">
      <c r="A18" s="6"/>
      <c r="B18" s="5" t="s">
        <v>0</v>
      </c>
      <c r="C18" s="19"/>
    </row>
    <row r="19" spans="1:4" x14ac:dyDescent="0.25">
      <c r="A19" s="4"/>
      <c r="B19" s="3"/>
      <c r="C19" s="19"/>
    </row>
    <row r="20" spans="1:4" ht="12" customHeight="1" x14ac:dyDescent="0.25">
      <c r="C20" s="19"/>
    </row>
    <row r="22" spans="1:4" x14ac:dyDescent="0.25">
      <c r="A22" s="20"/>
      <c r="B22" s="20"/>
      <c r="C22" s="20"/>
    </row>
    <row r="23" spans="1:4" ht="13.8" x14ac:dyDescent="0.25">
      <c r="A23" s="18" t="s">
        <v>15</v>
      </c>
      <c r="B23" s="17"/>
      <c r="C23" s="19"/>
      <c r="D23" s="1">
        <f>+D2+1</f>
        <v>2</v>
      </c>
    </row>
    <row r="24" spans="1:4" ht="13.8" x14ac:dyDescent="0.25">
      <c r="A24" s="16" t="s">
        <v>14</v>
      </c>
      <c r="B24" s="15"/>
      <c r="C24" s="19"/>
    </row>
    <row r="25" spans="1:4" ht="13.8" x14ac:dyDescent="0.25">
      <c r="A25" s="14" t="s">
        <v>13</v>
      </c>
      <c r="B25" s="13"/>
      <c r="C25" s="19"/>
    </row>
    <row r="26" spans="1:4" x14ac:dyDescent="0.25">
      <c r="A26" s="6"/>
      <c r="B26" s="5"/>
      <c r="C26" s="19"/>
    </row>
    <row r="27" spans="1:4" x14ac:dyDescent="0.25">
      <c r="A27" s="12" t="s">
        <v>12</v>
      </c>
      <c r="B27" s="11" t="str">
        <f>+'[1]FORM XIII'!$F$6</f>
        <v>SORYE CONTRUCTION</v>
      </c>
      <c r="C27" s="19"/>
    </row>
    <row r="28" spans="1:4" x14ac:dyDescent="0.25">
      <c r="A28" s="7" t="s">
        <v>11</v>
      </c>
      <c r="B28" s="7" t="str">
        <f>VLOOKUP(D23,'[1] Wages Sheet FORM XVII'!A$11:U106,3,0)</f>
        <v>FURKAN</v>
      </c>
      <c r="C28" s="19"/>
    </row>
    <row r="29" spans="1:4" x14ac:dyDescent="0.25">
      <c r="A29" s="7" t="s">
        <v>10</v>
      </c>
      <c r="B29" s="10" t="s">
        <v>9</v>
      </c>
      <c r="C29" s="19"/>
    </row>
    <row r="30" spans="1:4" x14ac:dyDescent="0.25">
      <c r="A30" s="7" t="s">
        <v>8</v>
      </c>
      <c r="B30" s="9">
        <f>+B9</f>
        <v>45992</v>
      </c>
      <c r="C30" s="19"/>
    </row>
    <row r="31" spans="1:4" x14ac:dyDescent="0.25">
      <c r="A31" s="7" t="s">
        <v>7</v>
      </c>
      <c r="B31" s="8">
        <f>VLOOKUP(D23,'[1] Wages Sheet FORM XVII'!A$11:U106,11,0)</f>
        <v>27</v>
      </c>
      <c r="C31" s="19"/>
    </row>
    <row r="32" spans="1:4" x14ac:dyDescent="0.25">
      <c r="A32" s="7" t="s">
        <v>6</v>
      </c>
      <c r="B32" s="7">
        <v>0</v>
      </c>
      <c r="C32" s="19"/>
    </row>
    <row r="33" spans="1:4" x14ac:dyDescent="0.25">
      <c r="A33" s="7" t="s">
        <v>5</v>
      </c>
      <c r="B33" s="7">
        <f>VLOOKUP(D23,'[1] Wages Sheet FORM XVII'!A$11:U106,12,0)</f>
        <v>480.77</v>
      </c>
      <c r="C33" s="19"/>
    </row>
    <row r="34" spans="1:4" x14ac:dyDescent="0.25">
      <c r="A34" s="7" t="s">
        <v>4</v>
      </c>
      <c r="B34" s="7">
        <f>VLOOKUP(D23,'[1] Wages Sheet FORM XVII'!A$11:U$34,15,0)</f>
        <v>120</v>
      </c>
      <c r="C34" s="19"/>
    </row>
    <row r="35" spans="1:4" x14ac:dyDescent="0.25">
      <c r="A35" s="7" t="s">
        <v>3</v>
      </c>
      <c r="B35" s="8">
        <f>VLOOKUP(D23,'[1] Wages Sheet FORM XVII'!A$11:U106,17,0)</f>
        <v>1558</v>
      </c>
      <c r="C35" s="19"/>
    </row>
    <row r="36" spans="1:4" x14ac:dyDescent="0.25">
      <c r="A36" s="7" t="s">
        <v>2</v>
      </c>
      <c r="B36" s="8">
        <f>VLOOKUP(D23,'[1] Wages Sheet FORM XVII'!A$11:U106,20,0)</f>
        <v>3156</v>
      </c>
      <c r="C36" s="19"/>
    </row>
    <row r="37" spans="1:4" x14ac:dyDescent="0.25">
      <c r="A37" s="7" t="s">
        <v>1</v>
      </c>
      <c r="B37" s="8">
        <f>VLOOKUP(D23,'[1] Wages Sheet FORM XVII'!A$11:U106,21,0)</f>
        <v>9944.7899999999991</v>
      </c>
      <c r="C37" s="19"/>
    </row>
    <row r="38" spans="1:4" x14ac:dyDescent="0.25">
      <c r="A38" s="7"/>
      <c r="B38" s="7"/>
      <c r="C38" s="19"/>
    </row>
    <row r="39" spans="1:4" x14ac:dyDescent="0.25">
      <c r="A39" s="6"/>
      <c r="B39" s="5" t="s">
        <v>0</v>
      </c>
      <c r="C39" s="19"/>
    </row>
    <row r="40" spans="1:4" x14ac:dyDescent="0.25">
      <c r="A40" s="4"/>
      <c r="B40" s="3"/>
      <c r="C40" s="19"/>
    </row>
    <row r="41" spans="1:4" x14ac:dyDescent="0.25">
      <c r="C41" s="19"/>
    </row>
    <row r="44" spans="1:4" x14ac:dyDescent="0.25">
      <c r="A44" s="20"/>
      <c r="B44" s="20"/>
      <c r="C44" s="20"/>
    </row>
    <row r="45" spans="1:4" ht="13.8" x14ac:dyDescent="0.25">
      <c r="A45" s="18" t="s">
        <v>15</v>
      </c>
      <c r="B45" s="17"/>
      <c r="C45" s="19"/>
      <c r="D45" s="1">
        <f>+D23+1</f>
        <v>3</v>
      </c>
    </row>
    <row r="46" spans="1:4" ht="13.8" x14ac:dyDescent="0.25">
      <c r="A46" s="16" t="s">
        <v>14</v>
      </c>
      <c r="B46" s="15"/>
      <c r="C46" s="19"/>
    </row>
    <row r="47" spans="1:4" ht="13.8" x14ac:dyDescent="0.25">
      <c r="A47" s="14" t="s">
        <v>13</v>
      </c>
      <c r="B47" s="13"/>
      <c r="C47" s="19"/>
    </row>
    <row r="48" spans="1:4" x14ac:dyDescent="0.25">
      <c r="A48" s="6"/>
      <c r="B48" s="5"/>
      <c r="C48" s="19"/>
    </row>
    <row r="49" spans="1:3" x14ac:dyDescent="0.25">
      <c r="A49" s="12" t="s">
        <v>12</v>
      </c>
      <c r="B49" s="11" t="str">
        <f>+'[1]FORM XIII'!$F$6</f>
        <v>SORYE CONTRUCTION</v>
      </c>
      <c r="C49" s="19"/>
    </row>
    <row r="50" spans="1:3" x14ac:dyDescent="0.25">
      <c r="A50" s="7" t="s">
        <v>11</v>
      </c>
      <c r="B50" s="7" t="str">
        <f>VLOOKUP(D45,'[1] Wages Sheet FORM XVII'!A$11:U128,3,0)</f>
        <v>SOMIT KUMAR</v>
      </c>
      <c r="C50" s="19"/>
    </row>
    <row r="51" spans="1:3" x14ac:dyDescent="0.25">
      <c r="A51" s="7" t="s">
        <v>10</v>
      </c>
      <c r="B51" s="10" t="s">
        <v>9</v>
      </c>
      <c r="C51" s="19"/>
    </row>
    <row r="52" spans="1:3" x14ac:dyDescent="0.25">
      <c r="A52" s="7" t="s">
        <v>8</v>
      </c>
      <c r="B52" s="9">
        <f>+B30</f>
        <v>45992</v>
      </c>
      <c r="C52" s="19"/>
    </row>
    <row r="53" spans="1:3" x14ac:dyDescent="0.25">
      <c r="A53" s="7" t="s">
        <v>7</v>
      </c>
      <c r="B53" s="8">
        <f>VLOOKUP(D45,'[1] Wages Sheet FORM XVII'!A$11:U128,11,0)</f>
        <v>25</v>
      </c>
      <c r="C53" s="19"/>
    </row>
    <row r="54" spans="1:3" x14ac:dyDescent="0.25">
      <c r="A54" s="7" t="s">
        <v>6</v>
      </c>
      <c r="B54" s="7">
        <v>0</v>
      </c>
      <c r="C54" s="19"/>
    </row>
    <row r="55" spans="1:3" x14ac:dyDescent="0.25">
      <c r="A55" s="7" t="s">
        <v>5</v>
      </c>
      <c r="B55" s="7">
        <f>VLOOKUP(D45,'[1] Wages Sheet FORM XVII'!A$11:U128,12,0)</f>
        <v>480.77</v>
      </c>
      <c r="C55" s="19"/>
    </row>
    <row r="56" spans="1:3" x14ac:dyDescent="0.25">
      <c r="A56" s="7" t="s">
        <v>4</v>
      </c>
      <c r="B56" s="7">
        <f>VLOOKUP(D45,'[1] Wages Sheet FORM XVII'!A$11:U$34,15,0)</f>
        <v>1803</v>
      </c>
      <c r="C56" s="19"/>
    </row>
    <row r="57" spans="1:3" x14ac:dyDescent="0.25">
      <c r="A57" s="7" t="s">
        <v>3</v>
      </c>
      <c r="B57" s="8">
        <f>VLOOKUP(D45,'[1] Wages Sheet FORM XVII'!A$11:U128,17,0)</f>
        <v>1442</v>
      </c>
      <c r="C57" s="19"/>
    </row>
    <row r="58" spans="1:3" x14ac:dyDescent="0.25">
      <c r="A58" s="7" t="s">
        <v>2</v>
      </c>
      <c r="B58" s="8">
        <f>VLOOKUP(D45,'[1] Wages Sheet FORM XVII'!A$11:U128,20,0)</f>
        <v>2246</v>
      </c>
      <c r="C58" s="19"/>
    </row>
    <row r="59" spans="1:3" x14ac:dyDescent="0.25">
      <c r="A59" s="7" t="s">
        <v>1</v>
      </c>
      <c r="B59" s="8">
        <f>VLOOKUP(D45,'[1] Wages Sheet FORM XVII'!A$11:U128,21,0)</f>
        <v>11576.25</v>
      </c>
      <c r="C59" s="19"/>
    </row>
    <row r="60" spans="1:3" x14ac:dyDescent="0.25">
      <c r="A60" s="7"/>
      <c r="B60" s="7"/>
      <c r="C60" s="19"/>
    </row>
    <row r="61" spans="1:3" x14ac:dyDescent="0.25">
      <c r="A61" s="6"/>
      <c r="B61" s="5" t="s">
        <v>0</v>
      </c>
      <c r="C61" s="19"/>
    </row>
    <row r="62" spans="1:3" x14ac:dyDescent="0.25">
      <c r="A62" s="4"/>
      <c r="B62" s="3"/>
      <c r="C62" s="19"/>
    </row>
    <row r="63" spans="1:3" x14ac:dyDescent="0.25">
      <c r="C63" s="19"/>
    </row>
    <row r="65" spans="1:4" x14ac:dyDescent="0.25">
      <c r="A65" s="20"/>
      <c r="B65" s="20"/>
      <c r="C65" s="20"/>
    </row>
    <row r="66" spans="1:4" ht="13.8" x14ac:dyDescent="0.25">
      <c r="A66" s="18" t="s">
        <v>15</v>
      </c>
      <c r="B66" s="17"/>
      <c r="C66" s="19"/>
      <c r="D66" s="1">
        <f>+D45+1</f>
        <v>4</v>
      </c>
    </row>
    <row r="67" spans="1:4" ht="13.8" x14ac:dyDescent="0.25">
      <c r="A67" s="16" t="s">
        <v>14</v>
      </c>
      <c r="B67" s="15"/>
      <c r="C67" s="19"/>
    </row>
    <row r="68" spans="1:4" ht="13.8" x14ac:dyDescent="0.25">
      <c r="A68" s="14" t="s">
        <v>13</v>
      </c>
      <c r="B68" s="13"/>
      <c r="C68" s="19"/>
    </row>
    <row r="69" spans="1:4" x14ac:dyDescent="0.25">
      <c r="A69" s="6"/>
      <c r="B69" s="5"/>
      <c r="C69" s="19"/>
    </row>
    <row r="70" spans="1:4" x14ac:dyDescent="0.25">
      <c r="A70" s="12" t="s">
        <v>12</v>
      </c>
      <c r="B70" s="11" t="str">
        <f>+'[1]FORM XIII'!$F$6</f>
        <v>SORYE CONTRUCTION</v>
      </c>
      <c r="C70" s="19"/>
    </row>
    <row r="71" spans="1:4" x14ac:dyDescent="0.25">
      <c r="A71" s="7" t="s">
        <v>11</v>
      </c>
      <c r="B71" s="7" t="str">
        <f>VLOOKUP(D66,'[1] Wages Sheet FORM XVII'!A$11:U149,3,0)</f>
        <v>PAHAL SINGH</v>
      </c>
      <c r="C71" s="19"/>
    </row>
    <row r="72" spans="1:4" x14ac:dyDescent="0.25">
      <c r="A72" s="7" t="s">
        <v>10</v>
      </c>
      <c r="B72" s="10" t="s">
        <v>9</v>
      </c>
      <c r="C72" s="19"/>
    </row>
    <row r="73" spans="1:4" x14ac:dyDescent="0.25">
      <c r="A73" s="7" t="s">
        <v>8</v>
      </c>
      <c r="B73" s="9">
        <f>+B52</f>
        <v>45992</v>
      </c>
      <c r="C73" s="19"/>
    </row>
    <row r="74" spans="1:4" x14ac:dyDescent="0.25">
      <c r="A74" s="7" t="s">
        <v>7</v>
      </c>
      <c r="B74" s="8">
        <f>VLOOKUP(D66,'[1] Wages Sheet FORM XVII'!A$11:U149,11,0)</f>
        <v>24</v>
      </c>
      <c r="C74" s="19"/>
    </row>
    <row r="75" spans="1:4" x14ac:dyDescent="0.25">
      <c r="A75" s="7" t="s">
        <v>6</v>
      </c>
      <c r="B75" s="7">
        <v>0</v>
      </c>
      <c r="C75" s="19"/>
    </row>
    <row r="76" spans="1:4" x14ac:dyDescent="0.25">
      <c r="A76" s="7" t="s">
        <v>5</v>
      </c>
      <c r="B76" s="7">
        <f>VLOOKUP(D66,'[1] Wages Sheet FORM XVII'!A$11:U149,12,0)</f>
        <v>480.77</v>
      </c>
      <c r="C76" s="19"/>
    </row>
    <row r="77" spans="1:4" x14ac:dyDescent="0.25">
      <c r="A77" s="7" t="s">
        <v>4</v>
      </c>
      <c r="B77" s="7">
        <f>VLOOKUP(D66,'[1] Wages Sheet FORM XVII'!A$11:U$34,15,0)</f>
        <v>1983</v>
      </c>
      <c r="C77" s="19"/>
    </row>
    <row r="78" spans="1:4" x14ac:dyDescent="0.25">
      <c r="A78" s="7" t="s">
        <v>3</v>
      </c>
      <c r="B78" s="8">
        <f>VLOOKUP(D66,'[1] Wages Sheet FORM XVII'!A$11:U149,17,0)</f>
        <v>1385</v>
      </c>
      <c r="C78" s="19"/>
    </row>
    <row r="79" spans="1:4" x14ac:dyDescent="0.25">
      <c r="A79" s="7" t="s">
        <v>2</v>
      </c>
      <c r="B79" s="8">
        <f>VLOOKUP(D66,'[1] Wages Sheet FORM XVII'!A$11:U149,20,0)</f>
        <v>1486</v>
      </c>
      <c r="C79" s="19"/>
    </row>
    <row r="80" spans="1:4" x14ac:dyDescent="0.25">
      <c r="A80" s="7" t="s">
        <v>1</v>
      </c>
      <c r="B80" s="8">
        <f>VLOOKUP(D66,'[1] Wages Sheet FORM XVII'!A$11:U149,21,0)</f>
        <v>12035.48</v>
      </c>
      <c r="C80" s="19"/>
    </row>
    <row r="81" spans="1:4" x14ac:dyDescent="0.25">
      <c r="A81" s="7"/>
      <c r="B81" s="7"/>
      <c r="C81" s="19"/>
    </row>
    <row r="82" spans="1:4" x14ac:dyDescent="0.25">
      <c r="A82" s="6"/>
      <c r="B82" s="5" t="s">
        <v>0</v>
      </c>
      <c r="C82" s="19"/>
    </row>
    <row r="83" spans="1:4" x14ac:dyDescent="0.25">
      <c r="A83" s="4"/>
      <c r="B83" s="3"/>
      <c r="C83" s="19"/>
    </row>
    <row r="84" spans="1:4" x14ac:dyDescent="0.25">
      <c r="C84" s="19"/>
    </row>
    <row r="87" spans="1:4" x14ac:dyDescent="0.25">
      <c r="A87" s="20"/>
      <c r="B87" s="20"/>
      <c r="C87" s="20"/>
    </row>
    <row r="88" spans="1:4" ht="13.8" x14ac:dyDescent="0.25">
      <c r="A88" s="18" t="s">
        <v>15</v>
      </c>
      <c r="B88" s="17"/>
      <c r="C88" s="19"/>
      <c r="D88" s="1">
        <f>+D66+1</f>
        <v>5</v>
      </c>
    </row>
    <row r="89" spans="1:4" ht="13.8" x14ac:dyDescent="0.25">
      <c r="A89" s="16" t="s">
        <v>14</v>
      </c>
      <c r="B89" s="15"/>
      <c r="C89" s="19"/>
    </row>
    <row r="90" spans="1:4" ht="13.8" x14ac:dyDescent="0.25">
      <c r="A90" s="14" t="s">
        <v>13</v>
      </c>
      <c r="B90" s="13"/>
      <c r="C90" s="19"/>
    </row>
    <row r="91" spans="1:4" x14ac:dyDescent="0.25">
      <c r="A91" s="6"/>
      <c r="B91" s="5"/>
      <c r="C91" s="19"/>
    </row>
    <row r="92" spans="1:4" x14ac:dyDescent="0.25">
      <c r="A92" s="12" t="s">
        <v>12</v>
      </c>
      <c r="B92" s="11" t="str">
        <f>+'[1]FORM XIII'!$F$6</f>
        <v>SORYE CONTRUCTION</v>
      </c>
      <c r="C92" s="19"/>
    </row>
    <row r="93" spans="1:4" x14ac:dyDescent="0.25">
      <c r="A93" s="7" t="s">
        <v>11</v>
      </c>
      <c r="B93" s="7" t="str">
        <f>VLOOKUP(D88,'[1] Wages Sheet FORM XVII'!A$11:U171,3,0)</f>
        <v>RAVINDRA</v>
      </c>
      <c r="C93" s="19"/>
    </row>
    <row r="94" spans="1:4" x14ac:dyDescent="0.25">
      <c r="A94" s="7" t="s">
        <v>10</v>
      </c>
      <c r="B94" s="10" t="s">
        <v>9</v>
      </c>
      <c r="C94" s="19"/>
    </row>
    <row r="95" spans="1:4" x14ac:dyDescent="0.25">
      <c r="A95" s="7" t="s">
        <v>8</v>
      </c>
      <c r="B95" s="9">
        <f>+B73</f>
        <v>45992</v>
      </c>
      <c r="C95" s="19"/>
    </row>
    <row r="96" spans="1:4" x14ac:dyDescent="0.25">
      <c r="A96" s="7" t="s">
        <v>7</v>
      </c>
      <c r="B96" s="8">
        <f>VLOOKUP(D88,'[1] Wages Sheet FORM XVII'!A$11:U171,11,0)</f>
        <v>23</v>
      </c>
      <c r="C96" s="19"/>
    </row>
    <row r="97" spans="1:4" x14ac:dyDescent="0.25">
      <c r="A97" s="7" t="s">
        <v>6</v>
      </c>
      <c r="B97" s="7">
        <v>0</v>
      </c>
      <c r="C97" s="19"/>
    </row>
    <row r="98" spans="1:4" x14ac:dyDescent="0.25">
      <c r="A98" s="7" t="s">
        <v>5</v>
      </c>
      <c r="B98" s="7">
        <f>VLOOKUP(D88,'[1] Wages Sheet FORM XVII'!A$11:U171,12,0)</f>
        <v>480.77</v>
      </c>
      <c r="C98" s="19"/>
    </row>
    <row r="99" spans="1:4" x14ac:dyDescent="0.25">
      <c r="A99" s="7" t="s">
        <v>4</v>
      </c>
      <c r="B99" s="7">
        <f>VLOOKUP(D88,'[1] Wages Sheet FORM XVII'!A$11:U$34,15,0)</f>
        <v>1563</v>
      </c>
      <c r="C99" s="19"/>
    </row>
    <row r="100" spans="1:4" x14ac:dyDescent="0.25">
      <c r="A100" s="7" t="s">
        <v>3</v>
      </c>
      <c r="B100" s="8">
        <f>VLOOKUP(D88,'[1] Wages Sheet FORM XVII'!A$11:U171,17,0)</f>
        <v>1327</v>
      </c>
      <c r="C100" s="19"/>
    </row>
    <row r="101" spans="1:4" x14ac:dyDescent="0.25">
      <c r="A101" s="7" t="s">
        <v>2</v>
      </c>
      <c r="B101" s="8">
        <f>VLOOKUP(D88,'[1] Wages Sheet FORM XVII'!A$11:U171,20,0)</f>
        <v>1472</v>
      </c>
      <c r="C101" s="19"/>
    </row>
    <row r="102" spans="1:4" x14ac:dyDescent="0.25">
      <c r="A102" s="7" t="s">
        <v>1</v>
      </c>
      <c r="B102" s="8">
        <f>VLOOKUP(D88,'[1] Wages Sheet FORM XVII'!A$11:U171,21,0)</f>
        <v>11148.71</v>
      </c>
      <c r="C102" s="19"/>
    </row>
    <row r="103" spans="1:4" x14ac:dyDescent="0.25">
      <c r="A103" s="7"/>
      <c r="B103" s="7"/>
      <c r="C103" s="19"/>
    </row>
    <row r="104" spans="1:4" x14ac:dyDescent="0.25">
      <c r="A104" s="6"/>
      <c r="B104" s="5" t="s">
        <v>0</v>
      </c>
      <c r="C104" s="19"/>
    </row>
    <row r="105" spans="1:4" x14ac:dyDescent="0.25">
      <c r="A105" s="4"/>
      <c r="B105" s="3"/>
      <c r="C105" s="19"/>
    </row>
    <row r="106" spans="1:4" x14ac:dyDescent="0.25">
      <c r="C106" s="19"/>
    </row>
    <row r="109" spans="1:4" x14ac:dyDescent="0.25">
      <c r="A109" s="20"/>
      <c r="B109" s="20"/>
      <c r="C109" s="20"/>
    </row>
    <row r="110" spans="1:4" ht="13.8" x14ac:dyDescent="0.25">
      <c r="A110" s="18" t="s">
        <v>15</v>
      </c>
      <c r="B110" s="17"/>
      <c r="C110" s="19"/>
      <c r="D110" s="1">
        <f>+D88+1</f>
        <v>6</v>
      </c>
    </row>
    <row r="111" spans="1:4" ht="13.8" x14ac:dyDescent="0.25">
      <c r="A111" s="16" t="s">
        <v>14</v>
      </c>
      <c r="B111" s="15"/>
      <c r="C111" s="19"/>
    </row>
    <row r="112" spans="1:4" ht="13.8" x14ac:dyDescent="0.25">
      <c r="A112" s="14" t="s">
        <v>13</v>
      </c>
      <c r="B112" s="13"/>
      <c r="C112" s="19"/>
    </row>
    <row r="113" spans="1:3" x14ac:dyDescent="0.25">
      <c r="A113" s="6"/>
      <c r="B113" s="5"/>
      <c r="C113" s="19"/>
    </row>
    <row r="114" spans="1:3" x14ac:dyDescent="0.25">
      <c r="A114" s="12" t="s">
        <v>12</v>
      </c>
      <c r="B114" s="11" t="str">
        <f>+'[1]FORM XIII'!$F$6</f>
        <v>SORYE CONTRUCTION</v>
      </c>
      <c r="C114" s="19"/>
    </row>
    <row r="115" spans="1:3" x14ac:dyDescent="0.25">
      <c r="A115" s="7" t="s">
        <v>11</v>
      </c>
      <c r="B115" s="7" t="str">
        <f>VLOOKUP(D110,'[1] Wages Sheet FORM XVII'!A$11:U193,3,0)</f>
        <v>ASLAM KHAN</v>
      </c>
      <c r="C115" s="19"/>
    </row>
    <row r="116" spans="1:3" x14ac:dyDescent="0.25">
      <c r="A116" s="7" t="s">
        <v>10</v>
      </c>
      <c r="B116" s="10" t="s">
        <v>9</v>
      </c>
      <c r="C116" s="19"/>
    </row>
    <row r="117" spans="1:3" x14ac:dyDescent="0.25">
      <c r="A117" s="7" t="s">
        <v>8</v>
      </c>
      <c r="B117" s="9">
        <f>+B95</f>
        <v>45992</v>
      </c>
      <c r="C117" s="19"/>
    </row>
    <row r="118" spans="1:3" x14ac:dyDescent="0.25">
      <c r="A118" s="7" t="s">
        <v>7</v>
      </c>
      <c r="B118" s="8">
        <f>VLOOKUP(D110,'[1] Wages Sheet FORM XVII'!A$11:U193,11,0)</f>
        <v>26</v>
      </c>
      <c r="C118" s="19"/>
    </row>
    <row r="119" spans="1:3" x14ac:dyDescent="0.25">
      <c r="A119" s="7" t="s">
        <v>6</v>
      </c>
      <c r="B119" s="7">
        <v>0</v>
      </c>
      <c r="C119" s="19"/>
    </row>
    <row r="120" spans="1:3" x14ac:dyDescent="0.25">
      <c r="A120" s="7" t="s">
        <v>5</v>
      </c>
      <c r="B120" s="7">
        <f>VLOOKUP(D110,'[1] Wages Sheet FORM XVII'!A$11:U193,12,0)</f>
        <v>480.77</v>
      </c>
      <c r="C120" s="19"/>
    </row>
    <row r="121" spans="1:3" x14ac:dyDescent="0.25">
      <c r="A121" s="7" t="s">
        <v>4</v>
      </c>
      <c r="B121" s="7">
        <f>VLOOKUP(D110,'[1] Wages Sheet FORM XVII'!A$11:U$34,15,0)</f>
        <v>1743</v>
      </c>
      <c r="C121" s="19"/>
    </row>
    <row r="122" spans="1:3" x14ac:dyDescent="0.25">
      <c r="A122" s="7" t="s">
        <v>3</v>
      </c>
      <c r="B122" s="8">
        <f>VLOOKUP(D110,'[1] Wages Sheet FORM XVII'!A$11:U193,17,0)</f>
        <v>1500</v>
      </c>
      <c r="C122" s="19"/>
    </row>
    <row r="123" spans="1:3" x14ac:dyDescent="0.25">
      <c r="A123" s="7" t="s">
        <v>2</v>
      </c>
      <c r="B123" s="8">
        <f>VLOOKUP(D110,'[1] Wages Sheet FORM XVII'!A$11:U193,20,0)</f>
        <v>1657</v>
      </c>
      <c r="C123" s="19"/>
    </row>
    <row r="124" spans="1:3" x14ac:dyDescent="0.25">
      <c r="A124" s="7" t="s">
        <v>1</v>
      </c>
      <c r="B124" s="8">
        <f>VLOOKUP(D110,'[1] Wages Sheet FORM XVII'!A$11:U193,21,0)</f>
        <v>12586.02</v>
      </c>
      <c r="C124" s="19"/>
    </row>
    <row r="125" spans="1:3" x14ac:dyDescent="0.25">
      <c r="A125" s="7"/>
      <c r="B125" s="7"/>
      <c r="C125" s="19"/>
    </row>
    <row r="126" spans="1:3" x14ac:dyDescent="0.25">
      <c r="A126" s="6"/>
      <c r="B126" s="5" t="s">
        <v>0</v>
      </c>
      <c r="C126" s="19"/>
    </row>
    <row r="127" spans="1:3" x14ac:dyDescent="0.25">
      <c r="A127" s="4"/>
      <c r="B127" s="3"/>
      <c r="C127" s="19"/>
    </row>
    <row r="128" spans="1:3" x14ac:dyDescent="0.25">
      <c r="C128" s="19"/>
    </row>
    <row r="132" spans="1:4" x14ac:dyDescent="0.25">
      <c r="A132" s="20"/>
      <c r="B132" s="20"/>
      <c r="C132" s="20"/>
    </row>
    <row r="133" spans="1:4" ht="13.8" x14ac:dyDescent="0.25">
      <c r="A133" s="18" t="s">
        <v>15</v>
      </c>
      <c r="B133" s="17"/>
      <c r="C133" s="19"/>
      <c r="D133" s="1">
        <f>+D110+1</f>
        <v>7</v>
      </c>
    </row>
    <row r="134" spans="1:4" ht="13.8" x14ac:dyDescent="0.25">
      <c r="A134" s="16" t="s">
        <v>14</v>
      </c>
      <c r="B134" s="15"/>
      <c r="C134" s="19"/>
    </row>
    <row r="135" spans="1:4" ht="13.8" x14ac:dyDescent="0.25">
      <c r="A135" s="14" t="s">
        <v>13</v>
      </c>
      <c r="B135" s="13"/>
      <c r="C135" s="19"/>
    </row>
    <row r="136" spans="1:4" x14ac:dyDescent="0.25">
      <c r="A136" s="6"/>
      <c r="B136" s="5"/>
      <c r="C136" s="19"/>
    </row>
    <row r="137" spans="1:4" x14ac:dyDescent="0.25">
      <c r="A137" s="12" t="s">
        <v>12</v>
      </c>
      <c r="B137" s="11" t="str">
        <f>+'[1]FORM XIII'!$F$6</f>
        <v>SORYE CONTRUCTION</v>
      </c>
      <c r="C137" s="19"/>
    </row>
    <row r="138" spans="1:4" x14ac:dyDescent="0.25">
      <c r="A138" s="7" t="s">
        <v>11</v>
      </c>
      <c r="B138" s="7" t="str">
        <f>VLOOKUP(D133,'[1] Wages Sheet FORM XVII'!A$11:U216,3,0)</f>
        <v>SURJEET</v>
      </c>
      <c r="C138" s="19"/>
    </row>
    <row r="139" spans="1:4" x14ac:dyDescent="0.25">
      <c r="A139" s="7" t="s">
        <v>10</v>
      </c>
      <c r="B139" s="10" t="s">
        <v>9</v>
      </c>
      <c r="C139" s="19"/>
    </row>
    <row r="140" spans="1:4" x14ac:dyDescent="0.25">
      <c r="A140" s="7" t="s">
        <v>8</v>
      </c>
      <c r="B140" s="9">
        <f>+B117</f>
        <v>45992</v>
      </c>
      <c r="C140" s="19"/>
    </row>
    <row r="141" spans="1:4" x14ac:dyDescent="0.25">
      <c r="A141" s="7" t="s">
        <v>7</v>
      </c>
      <c r="B141" s="8">
        <f>VLOOKUP(D133,'[1] Wages Sheet FORM XVII'!A$11:U216,11,0)</f>
        <v>27</v>
      </c>
      <c r="C141" s="19"/>
    </row>
    <row r="142" spans="1:4" x14ac:dyDescent="0.25">
      <c r="A142" s="7" t="s">
        <v>6</v>
      </c>
      <c r="B142" s="7">
        <v>0</v>
      </c>
      <c r="C142" s="19"/>
    </row>
    <row r="143" spans="1:4" x14ac:dyDescent="0.25">
      <c r="A143" s="7" t="s">
        <v>5</v>
      </c>
      <c r="B143" s="7">
        <f>VLOOKUP(D133,'[1] Wages Sheet FORM XVII'!A$11:U216,12,0)</f>
        <v>480.77</v>
      </c>
      <c r="C143" s="19"/>
    </row>
    <row r="144" spans="1:4" x14ac:dyDescent="0.25">
      <c r="A144" s="7" t="s">
        <v>4</v>
      </c>
      <c r="B144" s="7">
        <f>VLOOKUP(D133,'[1] Wages Sheet FORM XVII'!A$11:U$34,15,0)</f>
        <v>1082</v>
      </c>
      <c r="C144" s="19"/>
    </row>
    <row r="145" spans="1:4" x14ac:dyDescent="0.25">
      <c r="A145" s="7" t="s">
        <v>3</v>
      </c>
      <c r="B145" s="8">
        <f>VLOOKUP(D133,'[1] Wages Sheet FORM XVII'!A$11:U216,17,0)</f>
        <v>1558</v>
      </c>
      <c r="C145" s="19"/>
    </row>
    <row r="146" spans="1:4" x14ac:dyDescent="0.25">
      <c r="A146" s="7" t="s">
        <v>2</v>
      </c>
      <c r="B146" s="8">
        <f>VLOOKUP(D133,'[1] Wages Sheet FORM XVII'!A$11:U216,20,0)</f>
        <v>1663</v>
      </c>
      <c r="C146" s="19"/>
    </row>
    <row r="147" spans="1:4" x14ac:dyDescent="0.25">
      <c r="A147" s="7" t="s">
        <v>1</v>
      </c>
      <c r="B147" s="8">
        <f>VLOOKUP(D133,'[1] Wages Sheet FORM XVII'!A$11:U216,21,0)</f>
        <v>12399.789999999999</v>
      </c>
      <c r="C147" s="19"/>
    </row>
    <row r="148" spans="1:4" x14ac:dyDescent="0.25">
      <c r="A148" s="7"/>
      <c r="B148" s="7"/>
      <c r="C148" s="19"/>
    </row>
    <row r="149" spans="1:4" x14ac:dyDescent="0.25">
      <c r="A149" s="6"/>
      <c r="B149" s="5" t="s">
        <v>0</v>
      </c>
      <c r="C149" s="19"/>
    </row>
    <row r="150" spans="1:4" x14ac:dyDescent="0.25">
      <c r="A150" s="4"/>
      <c r="B150" s="3"/>
      <c r="C150" s="19"/>
    </row>
    <row r="151" spans="1:4" x14ac:dyDescent="0.25">
      <c r="C151" s="19"/>
    </row>
    <row r="154" spans="1:4" x14ac:dyDescent="0.25">
      <c r="A154" s="20"/>
      <c r="B154" s="20"/>
      <c r="C154" s="20"/>
    </row>
    <row r="155" spans="1:4" ht="13.8" x14ac:dyDescent="0.25">
      <c r="A155" s="18" t="s">
        <v>15</v>
      </c>
      <c r="B155" s="17"/>
      <c r="C155" s="19"/>
      <c r="D155" s="1">
        <f>+D133+1</f>
        <v>8</v>
      </c>
    </row>
    <row r="156" spans="1:4" ht="13.8" x14ac:dyDescent="0.25">
      <c r="A156" s="16" t="s">
        <v>14</v>
      </c>
      <c r="B156" s="15"/>
      <c r="C156" s="19"/>
    </row>
    <row r="157" spans="1:4" ht="13.8" x14ac:dyDescent="0.25">
      <c r="A157" s="14" t="s">
        <v>13</v>
      </c>
      <c r="B157" s="13"/>
      <c r="C157" s="19"/>
    </row>
    <row r="158" spans="1:4" x14ac:dyDescent="0.25">
      <c r="A158" s="6"/>
      <c r="B158" s="5"/>
      <c r="C158" s="19"/>
    </row>
    <row r="159" spans="1:4" x14ac:dyDescent="0.25">
      <c r="A159" s="12" t="s">
        <v>12</v>
      </c>
      <c r="B159" s="11" t="str">
        <f>+'[1]FORM XIII'!$F$6</f>
        <v>SORYE CONTRUCTION</v>
      </c>
      <c r="C159" s="19"/>
    </row>
    <row r="160" spans="1:4" x14ac:dyDescent="0.25">
      <c r="A160" s="7" t="s">
        <v>11</v>
      </c>
      <c r="B160" s="7" t="str">
        <f>VLOOKUP(D155,'[1] Wages Sheet FORM XVII'!A$11:U238,3,0)</f>
        <v>AJAY KUMAR</v>
      </c>
      <c r="C160" s="19"/>
    </row>
    <row r="161" spans="1:3" x14ac:dyDescent="0.25">
      <c r="A161" s="7" t="s">
        <v>10</v>
      </c>
      <c r="B161" s="10" t="s">
        <v>9</v>
      </c>
      <c r="C161" s="19"/>
    </row>
    <row r="162" spans="1:3" x14ac:dyDescent="0.25">
      <c r="A162" s="7" t="s">
        <v>8</v>
      </c>
      <c r="B162" s="9">
        <f>+B140</f>
        <v>45992</v>
      </c>
      <c r="C162" s="19"/>
    </row>
    <row r="163" spans="1:3" x14ac:dyDescent="0.25">
      <c r="A163" s="7" t="s">
        <v>7</v>
      </c>
      <c r="B163" s="8">
        <f>VLOOKUP(D155,'[1] Wages Sheet FORM XVII'!A$11:U238,11,0)</f>
        <v>26</v>
      </c>
      <c r="C163" s="19"/>
    </row>
    <row r="164" spans="1:3" x14ac:dyDescent="0.25">
      <c r="A164" s="7" t="s">
        <v>6</v>
      </c>
      <c r="B164" s="7">
        <v>0</v>
      </c>
      <c r="C164" s="19"/>
    </row>
    <row r="165" spans="1:3" x14ac:dyDescent="0.25">
      <c r="A165" s="7" t="s">
        <v>5</v>
      </c>
      <c r="B165" s="7">
        <f>VLOOKUP(D155,'[1] Wages Sheet FORM XVII'!A$11:U238,12,0)</f>
        <v>480.77</v>
      </c>
      <c r="C165" s="19"/>
    </row>
    <row r="166" spans="1:3" x14ac:dyDescent="0.25">
      <c r="A166" s="7" t="s">
        <v>4</v>
      </c>
      <c r="B166" s="7">
        <f>VLOOKUP(D155,'[1] Wages Sheet FORM XVII'!A$11:U$34,15,0)</f>
        <v>481</v>
      </c>
      <c r="C166" s="19"/>
    </row>
    <row r="167" spans="1:3" x14ac:dyDescent="0.25">
      <c r="A167" s="7" t="s">
        <v>3</v>
      </c>
      <c r="B167" s="8">
        <f>VLOOKUP(D155,'[1] Wages Sheet FORM XVII'!A$11:U238,17,0)</f>
        <v>1500</v>
      </c>
      <c r="C167" s="19"/>
    </row>
    <row r="168" spans="1:3" x14ac:dyDescent="0.25">
      <c r="A168" s="7" t="s">
        <v>2</v>
      </c>
      <c r="B168" s="8">
        <f>VLOOKUP(D155,'[1] Wages Sheet FORM XVII'!A$11:U238,20,0)</f>
        <v>1847</v>
      </c>
      <c r="C168" s="19"/>
    </row>
    <row r="169" spans="1:3" x14ac:dyDescent="0.25">
      <c r="A169" s="7" t="s">
        <v>1</v>
      </c>
      <c r="B169" s="8">
        <f>VLOOKUP(D155,'[1] Wages Sheet FORM XVII'!A$11:U238,21,0)</f>
        <v>11134.02</v>
      </c>
      <c r="C169" s="19"/>
    </row>
    <row r="170" spans="1:3" x14ac:dyDescent="0.25">
      <c r="A170" s="7"/>
      <c r="B170" s="7"/>
      <c r="C170" s="19"/>
    </row>
    <row r="171" spans="1:3" x14ac:dyDescent="0.25">
      <c r="A171" s="6"/>
      <c r="B171" s="5" t="s">
        <v>0</v>
      </c>
      <c r="C171" s="19"/>
    </row>
    <row r="172" spans="1:3" x14ac:dyDescent="0.25">
      <c r="A172" s="4"/>
      <c r="B172" s="3"/>
      <c r="C172" s="19"/>
    </row>
    <row r="173" spans="1:3" x14ac:dyDescent="0.25">
      <c r="C173" s="19"/>
    </row>
    <row r="176" spans="1:3" x14ac:dyDescent="0.25">
      <c r="A176" s="20"/>
      <c r="B176" s="20"/>
      <c r="C176" s="20"/>
    </row>
    <row r="177" spans="1:4" ht="13.8" x14ac:dyDescent="0.25">
      <c r="A177" s="18" t="s">
        <v>15</v>
      </c>
      <c r="B177" s="17"/>
      <c r="C177" s="19"/>
      <c r="D177" s="1">
        <f>+D155+1</f>
        <v>9</v>
      </c>
    </row>
    <row r="178" spans="1:4" ht="13.8" x14ac:dyDescent="0.25">
      <c r="A178" s="16" t="s">
        <v>14</v>
      </c>
      <c r="B178" s="15"/>
      <c r="C178" s="19"/>
    </row>
    <row r="179" spans="1:4" ht="13.8" x14ac:dyDescent="0.25">
      <c r="A179" s="14" t="s">
        <v>13</v>
      </c>
      <c r="B179" s="13"/>
      <c r="C179" s="19"/>
    </row>
    <row r="180" spans="1:4" x14ac:dyDescent="0.25">
      <c r="A180" s="6"/>
      <c r="B180" s="5"/>
      <c r="C180" s="19"/>
    </row>
    <row r="181" spans="1:4" x14ac:dyDescent="0.25">
      <c r="A181" s="12" t="s">
        <v>12</v>
      </c>
      <c r="B181" s="11" t="str">
        <f>+'[1]FORM XIII'!$F$6</f>
        <v>SORYE CONTRUCTION</v>
      </c>
      <c r="C181" s="19"/>
    </row>
    <row r="182" spans="1:4" x14ac:dyDescent="0.25">
      <c r="A182" s="7" t="s">
        <v>11</v>
      </c>
      <c r="B182" s="7" t="str">
        <f>VLOOKUP(D177,'[1] Wages Sheet FORM XVII'!A$11:U260,3,0)</f>
        <v>HEERALAL</v>
      </c>
      <c r="C182" s="19"/>
    </row>
    <row r="183" spans="1:4" x14ac:dyDescent="0.25">
      <c r="A183" s="7" t="s">
        <v>10</v>
      </c>
      <c r="B183" s="10" t="s">
        <v>9</v>
      </c>
      <c r="C183" s="19"/>
    </row>
    <row r="184" spans="1:4" x14ac:dyDescent="0.25">
      <c r="A184" s="7" t="s">
        <v>8</v>
      </c>
      <c r="B184" s="9">
        <f>+B162</f>
        <v>45992</v>
      </c>
      <c r="C184" s="19"/>
    </row>
    <row r="185" spans="1:4" x14ac:dyDescent="0.25">
      <c r="A185" s="7" t="s">
        <v>7</v>
      </c>
      <c r="B185" s="8">
        <f>VLOOKUP(D177,'[1] Wages Sheet FORM XVII'!A$11:U260,11,0)</f>
        <v>19</v>
      </c>
      <c r="C185" s="19"/>
    </row>
    <row r="186" spans="1:4" x14ac:dyDescent="0.25">
      <c r="A186" s="7" t="s">
        <v>6</v>
      </c>
      <c r="B186" s="7">
        <v>0</v>
      </c>
      <c r="C186" s="19"/>
    </row>
    <row r="187" spans="1:4" x14ac:dyDescent="0.25">
      <c r="A187" s="7" t="s">
        <v>5</v>
      </c>
      <c r="B187" s="7">
        <f>VLOOKUP(D177,'[1] Wages Sheet FORM XVII'!A$11:U260,12,0)</f>
        <v>480.77</v>
      </c>
      <c r="C187" s="19"/>
    </row>
    <row r="188" spans="1:4" x14ac:dyDescent="0.25">
      <c r="A188" s="7" t="s">
        <v>4</v>
      </c>
      <c r="B188" s="7">
        <f>VLOOKUP(D177,'[1] Wages Sheet FORM XVII'!A$11:U$34,15,0)</f>
        <v>481</v>
      </c>
      <c r="C188" s="19"/>
    </row>
    <row r="189" spans="1:4" x14ac:dyDescent="0.25">
      <c r="A189" s="7" t="s">
        <v>3</v>
      </c>
      <c r="B189" s="8">
        <f>VLOOKUP(D177,'[1] Wages Sheet FORM XVII'!A$11:U260,17,0)</f>
        <v>1096</v>
      </c>
      <c r="C189" s="19"/>
    </row>
    <row r="190" spans="1:4" x14ac:dyDescent="0.25">
      <c r="A190" s="7" t="s">
        <v>2</v>
      </c>
      <c r="B190" s="8">
        <f>VLOOKUP(D177,'[1] Wages Sheet FORM XVII'!A$11:U260,20,0)</f>
        <v>1168</v>
      </c>
      <c r="C190" s="19"/>
    </row>
    <row r="191" spans="1:4" x14ac:dyDescent="0.25">
      <c r="A191" s="7" t="s">
        <v>1</v>
      </c>
      <c r="B191" s="8">
        <f>VLOOKUP(D177,'[1] Wages Sheet FORM XVII'!A$11:U260,21,0)</f>
        <v>8447.6299999999992</v>
      </c>
      <c r="C191" s="19"/>
    </row>
    <row r="192" spans="1:4" x14ac:dyDescent="0.25">
      <c r="A192" s="7"/>
      <c r="B192" s="7"/>
      <c r="C192" s="19"/>
    </row>
    <row r="193" spans="1:4" x14ac:dyDescent="0.25">
      <c r="A193" s="6"/>
      <c r="B193" s="5" t="s">
        <v>0</v>
      </c>
      <c r="C193" s="19"/>
    </row>
    <row r="194" spans="1:4" x14ac:dyDescent="0.25">
      <c r="A194" s="4"/>
      <c r="B194" s="3"/>
      <c r="C194" s="19"/>
    </row>
    <row r="195" spans="1:4" x14ac:dyDescent="0.25">
      <c r="C195" s="19"/>
    </row>
    <row r="198" spans="1:4" x14ac:dyDescent="0.25">
      <c r="A198" s="20"/>
      <c r="B198" s="20"/>
      <c r="C198" s="20"/>
    </row>
    <row r="199" spans="1:4" ht="13.8" x14ac:dyDescent="0.25">
      <c r="A199" s="18" t="s">
        <v>15</v>
      </c>
      <c r="B199" s="17"/>
      <c r="C199" s="19"/>
      <c r="D199" s="1">
        <f>+D177+1</f>
        <v>10</v>
      </c>
    </row>
    <row r="200" spans="1:4" ht="13.8" x14ac:dyDescent="0.25">
      <c r="A200" s="16" t="s">
        <v>14</v>
      </c>
      <c r="B200" s="15"/>
      <c r="C200" s="19"/>
    </row>
    <row r="201" spans="1:4" ht="13.8" x14ac:dyDescent="0.25">
      <c r="A201" s="14" t="s">
        <v>13</v>
      </c>
      <c r="B201" s="13"/>
      <c r="C201" s="19"/>
    </row>
    <row r="202" spans="1:4" x14ac:dyDescent="0.25">
      <c r="A202" s="6"/>
      <c r="B202" s="5"/>
      <c r="C202" s="19"/>
    </row>
    <row r="203" spans="1:4" x14ac:dyDescent="0.25">
      <c r="A203" s="12" t="s">
        <v>12</v>
      </c>
      <c r="B203" s="11" t="str">
        <f>+'[1]FORM XIII'!$F$6</f>
        <v>SORYE CONTRUCTION</v>
      </c>
      <c r="C203" s="19"/>
    </row>
    <row r="204" spans="1:4" x14ac:dyDescent="0.25">
      <c r="A204" s="7" t="s">
        <v>11</v>
      </c>
      <c r="B204" s="7" t="str">
        <f>VLOOKUP(D199,'[1] Wages Sheet FORM XVII'!A$11:U282,3,0)</f>
        <v>MONU KUMAR</v>
      </c>
      <c r="C204" s="19"/>
    </row>
    <row r="205" spans="1:4" x14ac:dyDescent="0.25">
      <c r="A205" s="7" t="s">
        <v>10</v>
      </c>
      <c r="B205" s="10" t="s">
        <v>9</v>
      </c>
      <c r="C205" s="19"/>
    </row>
    <row r="206" spans="1:4" x14ac:dyDescent="0.25">
      <c r="A206" s="7" t="s">
        <v>8</v>
      </c>
      <c r="B206" s="9">
        <f>+B184</f>
        <v>45992</v>
      </c>
      <c r="C206" s="19"/>
    </row>
    <row r="207" spans="1:4" x14ac:dyDescent="0.25">
      <c r="A207" s="7" t="s">
        <v>7</v>
      </c>
      <c r="B207" s="8">
        <f>VLOOKUP(D199,'[1] Wages Sheet FORM XVII'!A$11:U282,11,0)</f>
        <v>10</v>
      </c>
      <c r="C207" s="19"/>
    </row>
    <row r="208" spans="1:4" x14ac:dyDescent="0.25">
      <c r="A208" s="7" t="s">
        <v>6</v>
      </c>
      <c r="B208" s="7">
        <v>0</v>
      </c>
      <c r="C208" s="19"/>
    </row>
    <row r="209" spans="1:4" x14ac:dyDescent="0.25">
      <c r="A209" s="7" t="s">
        <v>5</v>
      </c>
      <c r="B209" s="7">
        <f>VLOOKUP(D199,'[1] Wages Sheet FORM XVII'!A$11:U282,12,0)</f>
        <v>480.77</v>
      </c>
      <c r="C209" s="19"/>
    </row>
    <row r="210" spans="1:4" x14ac:dyDescent="0.25">
      <c r="A210" s="7" t="s">
        <v>4</v>
      </c>
      <c r="B210" s="7">
        <f>VLOOKUP(D199,'[1] Wages Sheet FORM XVII'!A$11:U$34,15,0)</f>
        <v>361</v>
      </c>
      <c r="C210" s="19"/>
    </row>
    <row r="211" spans="1:4" x14ac:dyDescent="0.25">
      <c r="A211" s="7" t="s">
        <v>3</v>
      </c>
      <c r="B211" s="8">
        <f>VLOOKUP(D199,'[1] Wages Sheet FORM XVII'!A$11:U282,17,0)</f>
        <v>577</v>
      </c>
      <c r="C211" s="19"/>
    </row>
    <row r="212" spans="1:4" x14ac:dyDescent="0.25">
      <c r="A212" s="7" t="s">
        <v>2</v>
      </c>
      <c r="B212" s="8">
        <f>VLOOKUP(D199,'[1] Wages Sheet FORM XVII'!A$11:U282,20,0)</f>
        <v>766</v>
      </c>
      <c r="C212" s="19"/>
    </row>
    <row r="213" spans="1:4" x14ac:dyDescent="0.25">
      <c r="A213" s="7" t="s">
        <v>1</v>
      </c>
      <c r="B213" s="8">
        <f>VLOOKUP(D199,'[1] Wages Sheet FORM XVII'!A$11:U282,21,0)</f>
        <v>4402.7</v>
      </c>
      <c r="C213" s="19"/>
    </row>
    <row r="214" spans="1:4" x14ac:dyDescent="0.25">
      <c r="A214" s="7"/>
      <c r="B214" s="7"/>
      <c r="C214" s="19"/>
    </row>
    <row r="215" spans="1:4" x14ac:dyDescent="0.25">
      <c r="A215" s="6"/>
      <c r="B215" s="5" t="s">
        <v>0</v>
      </c>
      <c r="C215" s="19"/>
    </row>
    <row r="216" spans="1:4" x14ac:dyDescent="0.25">
      <c r="A216" s="4"/>
      <c r="B216" s="3"/>
      <c r="C216" s="19"/>
    </row>
    <row r="217" spans="1:4" x14ac:dyDescent="0.25">
      <c r="C217" s="19"/>
    </row>
    <row r="219" spans="1:4" x14ac:dyDescent="0.25">
      <c r="A219" s="20"/>
      <c r="B219" s="20"/>
      <c r="C219" s="20"/>
    </row>
    <row r="220" spans="1:4" ht="13.8" x14ac:dyDescent="0.25">
      <c r="A220" s="18" t="s">
        <v>15</v>
      </c>
      <c r="B220" s="17"/>
      <c r="C220" s="19"/>
      <c r="D220" s="1">
        <f>+D199+1</f>
        <v>11</v>
      </c>
    </row>
    <row r="221" spans="1:4" ht="13.8" x14ac:dyDescent="0.25">
      <c r="A221" s="16" t="s">
        <v>14</v>
      </c>
      <c r="B221" s="15"/>
      <c r="C221" s="19"/>
    </row>
    <row r="222" spans="1:4" ht="13.8" x14ac:dyDescent="0.25">
      <c r="A222" s="14" t="s">
        <v>13</v>
      </c>
      <c r="B222" s="13"/>
      <c r="C222" s="19"/>
    </row>
    <row r="223" spans="1:4" x14ac:dyDescent="0.25">
      <c r="A223" s="6"/>
      <c r="B223" s="5"/>
      <c r="C223" s="19"/>
    </row>
    <row r="224" spans="1:4" x14ac:dyDescent="0.25">
      <c r="A224" s="12" t="s">
        <v>12</v>
      </c>
      <c r="B224" s="11" t="str">
        <f>+'[1]FORM XIII'!$F$6</f>
        <v>SORYE CONTRUCTION</v>
      </c>
      <c r="C224" s="19"/>
    </row>
    <row r="225" spans="1:3" x14ac:dyDescent="0.25">
      <c r="A225" s="7" t="s">
        <v>11</v>
      </c>
      <c r="B225" s="7" t="str">
        <f>VLOOKUP(D220,'[1] Wages Sheet FORM XVII'!A$11:U303,3,0)</f>
        <v>NITESH KUMAR</v>
      </c>
      <c r="C225" s="19"/>
    </row>
    <row r="226" spans="1:3" x14ac:dyDescent="0.25">
      <c r="A226" s="7" t="s">
        <v>10</v>
      </c>
      <c r="B226" s="10" t="s">
        <v>9</v>
      </c>
      <c r="C226" s="19"/>
    </row>
    <row r="227" spans="1:3" x14ac:dyDescent="0.25">
      <c r="A227" s="7" t="s">
        <v>8</v>
      </c>
      <c r="B227" s="9">
        <f>+B206</f>
        <v>45992</v>
      </c>
      <c r="C227" s="19"/>
    </row>
    <row r="228" spans="1:3" x14ac:dyDescent="0.25">
      <c r="A228" s="7" t="s">
        <v>7</v>
      </c>
      <c r="B228" s="8">
        <f>VLOOKUP(D220,'[1] Wages Sheet FORM XVII'!A$11:U303,11,0)</f>
        <v>23</v>
      </c>
      <c r="C228" s="19"/>
    </row>
    <row r="229" spans="1:3" x14ac:dyDescent="0.25">
      <c r="A229" s="7" t="s">
        <v>6</v>
      </c>
      <c r="B229" s="7">
        <v>0</v>
      </c>
      <c r="C229" s="19"/>
    </row>
    <row r="230" spans="1:3" x14ac:dyDescent="0.25">
      <c r="A230" s="7" t="s">
        <v>5</v>
      </c>
      <c r="B230" s="7">
        <f>VLOOKUP(D220,'[1] Wages Sheet FORM XVII'!A$11:U303,12,0)</f>
        <v>480.77</v>
      </c>
      <c r="C230" s="19"/>
    </row>
    <row r="231" spans="1:3" x14ac:dyDescent="0.25">
      <c r="A231" s="7" t="s">
        <v>4</v>
      </c>
      <c r="B231" s="7">
        <f>VLOOKUP(D220,'[1] Wages Sheet FORM XVII'!A$11:U$34,15,0)</f>
        <v>962</v>
      </c>
      <c r="C231" s="19"/>
    </row>
    <row r="232" spans="1:3" x14ac:dyDescent="0.25">
      <c r="A232" s="7" t="s">
        <v>3</v>
      </c>
      <c r="B232" s="8">
        <f>VLOOKUP(D220,'[1] Wages Sheet FORM XVII'!A$11:U303,17,0)</f>
        <v>1327</v>
      </c>
      <c r="C232" s="19"/>
    </row>
    <row r="233" spans="1:3" x14ac:dyDescent="0.25">
      <c r="A233" s="7" t="s">
        <v>2</v>
      </c>
      <c r="B233" s="8">
        <f>VLOOKUP(D220,'[1] Wages Sheet FORM XVII'!A$11:U303,20,0)</f>
        <v>1479</v>
      </c>
      <c r="C233" s="19"/>
    </row>
    <row r="234" spans="1:3" x14ac:dyDescent="0.25">
      <c r="A234" s="7" t="s">
        <v>1</v>
      </c>
      <c r="B234" s="8">
        <f>VLOOKUP(D220,'[1] Wages Sheet FORM XVII'!A$11:U303,21,0)</f>
        <v>10540.71</v>
      </c>
      <c r="C234" s="19"/>
    </row>
    <row r="235" spans="1:3" x14ac:dyDescent="0.25">
      <c r="A235" s="7"/>
      <c r="B235" s="7"/>
      <c r="C235" s="19"/>
    </row>
    <row r="236" spans="1:3" x14ac:dyDescent="0.25">
      <c r="A236" s="6"/>
      <c r="B236" s="5" t="s">
        <v>0</v>
      </c>
      <c r="C236" s="19"/>
    </row>
    <row r="237" spans="1:3" x14ac:dyDescent="0.25">
      <c r="A237" s="4"/>
      <c r="B237" s="3"/>
      <c r="C237" s="19"/>
    </row>
    <row r="238" spans="1:3" x14ac:dyDescent="0.25">
      <c r="C238" s="19"/>
    </row>
    <row r="241" spans="1:4" x14ac:dyDescent="0.25">
      <c r="A241" s="20"/>
      <c r="B241" s="20"/>
      <c r="C241" s="20"/>
    </row>
    <row r="242" spans="1:4" ht="13.8" x14ac:dyDescent="0.25">
      <c r="A242" s="18" t="s">
        <v>15</v>
      </c>
      <c r="B242" s="17"/>
      <c r="C242" s="19"/>
      <c r="D242" s="1">
        <f>+D220+1</f>
        <v>12</v>
      </c>
    </row>
    <row r="243" spans="1:4" ht="14.25" customHeight="1" x14ac:dyDescent="0.25">
      <c r="A243" s="16" t="s">
        <v>14</v>
      </c>
      <c r="B243" s="15"/>
      <c r="C243" s="19"/>
    </row>
    <row r="244" spans="1:4" ht="13.8" x14ac:dyDescent="0.25">
      <c r="A244" s="14" t="s">
        <v>13</v>
      </c>
      <c r="B244" s="13"/>
      <c r="C244" s="19"/>
    </row>
    <row r="245" spans="1:4" x14ac:dyDescent="0.25">
      <c r="A245" s="6"/>
      <c r="B245" s="5"/>
      <c r="C245" s="19"/>
    </row>
    <row r="246" spans="1:4" x14ac:dyDescent="0.25">
      <c r="A246" s="12" t="s">
        <v>12</v>
      </c>
      <c r="B246" s="11" t="str">
        <f>+'[1]FORM XIII'!$F$6</f>
        <v>SORYE CONTRUCTION</v>
      </c>
      <c r="C246" s="19"/>
    </row>
    <row r="247" spans="1:4" x14ac:dyDescent="0.25">
      <c r="A247" s="7" t="s">
        <v>11</v>
      </c>
      <c r="B247" s="7" t="str">
        <f>VLOOKUP(D242,'[1] Wages Sheet FORM XVII'!A$11:U325,3,0)</f>
        <v>KAUSHINDRA</v>
      </c>
      <c r="C247" s="19"/>
    </row>
    <row r="248" spans="1:4" x14ac:dyDescent="0.25">
      <c r="A248" s="7" t="s">
        <v>10</v>
      </c>
      <c r="B248" s="21" t="s">
        <v>9</v>
      </c>
      <c r="C248" s="19"/>
    </row>
    <row r="249" spans="1:4" x14ac:dyDescent="0.25">
      <c r="A249" s="7" t="s">
        <v>8</v>
      </c>
      <c r="B249" s="9">
        <f>+B227</f>
        <v>45992</v>
      </c>
      <c r="C249" s="19"/>
    </row>
    <row r="250" spans="1:4" x14ac:dyDescent="0.25">
      <c r="A250" s="7" t="s">
        <v>7</v>
      </c>
      <c r="B250" s="8">
        <f>VLOOKUP(D242,'[1] Wages Sheet FORM XVII'!A$11:U325,11,0)</f>
        <v>27</v>
      </c>
      <c r="C250" s="19"/>
    </row>
    <row r="251" spans="1:4" x14ac:dyDescent="0.25">
      <c r="A251" s="7" t="s">
        <v>6</v>
      </c>
      <c r="B251" s="7">
        <v>0</v>
      </c>
      <c r="C251" s="19"/>
    </row>
    <row r="252" spans="1:4" x14ac:dyDescent="0.25">
      <c r="A252" s="7" t="s">
        <v>5</v>
      </c>
      <c r="B252" s="7">
        <f>VLOOKUP(D242,'[1] Wages Sheet FORM XVII'!A$11:U325,12,0)</f>
        <v>542.04</v>
      </c>
      <c r="C252" s="19"/>
    </row>
    <row r="253" spans="1:4" x14ac:dyDescent="0.25">
      <c r="A253" s="7" t="s">
        <v>4</v>
      </c>
      <c r="B253" s="7">
        <f>VLOOKUP(D242,'[1] Wages Sheet FORM XVII'!A$11:U$34,15,0)</f>
        <v>3523</v>
      </c>
      <c r="C253" s="19"/>
    </row>
    <row r="254" spans="1:4" x14ac:dyDescent="0.25">
      <c r="A254" s="7" t="s">
        <v>3</v>
      </c>
      <c r="B254" s="8">
        <f>VLOOKUP(D242,'[1] Wages Sheet FORM XVII'!A$11:U325,17,0)</f>
        <v>1756</v>
      </c>
      <c r="C254" s="19"/>
    </row>
    <row r="255" spans="1:4" x14ac:dyDescent="0.25">
      <c r="A255" s="7" t="s">
        <v>2</v>
      </c>
      <c r="B255" s="8">
        <f>VLOOKUP(D242,'[1] Wages Sheet FORM XVII'!A$11:U325,20,0)</f>
        <v>1892</v>
      </c>
      <c r="C255" s="19"/>
    </row>
    <row r="256" spans="1:4" x14ac:dyDescent="0.25">
      <c r="A256" s="7" t="s">
        <v>1</v>
      </c>
      <c r="B256" s="8">
        <f>VLOOKUP(D242,'[1] Wages Sheet FORM XVII'!A$11:U325,21,0)</f>
        <v>16266.079999999998</v>
      </c>
      <c r="C256" s="19"/>
    </row>
    <row r="257" spans="1:4" x14ac:dyDescent="0.25">
      <c r="A257" s="7"/>
      <c r="B257" s="7"/>
      <c r="C257" s="19"/>
    </row>
    <row r="258" spans="1:4" x14ac:dyDescent="0.25">
      <c r="A258" s="6"/>
      <c r="B258" s="5" t="s">
        <v>0</v>
      </c>
      <c r="C258" s="19"/>
    </row>
    <row r="259" spans="1:4" x14ac:dyDescent="0.25">
      <c r="A259" s="4"/>
      <c r="B259" s="3"/>
      <c r="C259" s="19"/>
    </row>
    <row r="260" spans="1:4" x14ac:dyDescent="0.25">
      <c r="C260" s="19"/>
    </row>
    <row r="262" spans="1:4" x14ac:dyDescent="0.25">
      <c r="A262" s="20"/>
      <c r="B262" s="20"/>
      <c r="C262" s="20"/>
    </row>
    <row r="263" spans="1:4" ht="13.8" x14ac:dyDescent="0.25">
      <c r="A263" s="18" t="s">
        <v>15</v>
      </c>
      <c r="B263" s="17"/>
      <c r="C263" s="19"/>
      <c r="D263" s="1">
        <f>+D242+1</f>
        <v>13</v>
      </c>
    </row>
    <row r="264" spans="1:4" ht="14.25" customHeight="1" x14ac:dyDescent="0.25">
      <c r="A264" s="16" t="s">
        <v>14</v>
      </c>
      <c r="B264" s="15"/>
      <c r="C264" s="19"/>
    </row>
    <row r="265" spans="1:4" ht="13.8" x14ac:dyDescent="0.25">
      <c r="A265" s="14" t="s">
        <v>13</v>
      </c>
      <c r="B265" s="13"/>
      <c r="C265" s="19"/>
    </row>
    <row r="266" spans="1:4" x14ac:dyDescent="0.25">
      <c r="A266" s="6"/>
      <c r="B266" s="5"/>
      <c r="C266" s="19"/>
    </row>
    <row r="267" spans="1:4" x14ac:dyDescent="0.25">
      <c r="A267" s="12" t="s">
        <v>12</v>
      </c>
      <c r="B267" s="11" t="str">
        <f>+'[1]FORM XIII'!$F$6</f>
        <v>SORYE CONTRUCTION</v>
      </c>
      <c r="C267" s="19"/>
    </row>
    <row r="268" spans="1:4" x14ac:dyDescent="0.25">
      <c r="A268" s="7" t="s">
        <v>11</v>
      </c>
      <c r="B268" s="7" t="str">
        <f>VLOOKUP(D263,'[1] Wages Sheet FORM XVII'!A$11:U346,3,0)</f>
        <v>SANDEEP</v>
      </c>
      <c r="C268" s="19"/>
    </row>
    <row r="269" spans="1:4" x14ac:dyDescent="0.25">
      <c r="A269" s="7" t="s">
        <v>10</v>
      </c>
      <c r="B269" s="10" t="s">
        <v>9</v>
      </c>
      <c r="C269" s="19"/>
    </row>
    <row r="270" spans="1:4" x14ac:dyDescent="0.25">
      <c r="A270" s="7" t="s">
        <v>8</v>
      </c>
      <c r="B270" s="9">
        <f>+B249</f>
        <v>45992</v>
      </c>
      <c r="C270" s="19"/>
    </row>
    <row r="271" spans="1:4" x14ac:dyDescent="0.25">
      <c r="A271" s="7" t="s">
        <v>7</v>
      </c>
      <c r="B271" s="8">
        <f>VLOOKUP(D263,'[1] Wages Sheet FORM XVII'!A$11:U346,11,0)</f>
        <v>18</v>
      </c>
      <c r="C271" s="19"/>
    </row>
    <row r="272" spans="1:4" x14ac:dyDescent="0.25">
      <c r="A272" s="7" t="s">
        <v>6</v>
      </c>
      <c r="B272" s="7">
        <v>0</v>
      </c>
      <c r="C272" s="19"/>
    </row>
    <row r="273" spans="1:4" x14ac:dyDescent="0.25">
      <c r="A273" s="7" t="s">
        <v>5</v>
      </c>
      <c r="B273" s="7">
        <f>VLOOKUP(D263,'[1] Wages Sheet FORM XVII'!A$11:U346,12,0)</f>
        <v>542.04</v>
      </c>
      <c r="C273" s="19"/>
    </row>
    <row r="274" spans="1:4" x14ac:dyDescent="0.25">
      <c r="A274" s="7" t="s">
        <v>4</v>
      </c>
      <c r="B274" s="7">
        <f>VLOOKUP(D263,'[1] Wages Sheet FORM XVII'!A$11:U$34,15,0)</f>
        <v>1152</v>
      </c>
      <c r="C274" s="19"/>
    </row>
    <row r="275" spans="1:4" x14ac:dyDescent="0.25">
      <c r="A275" s="7" t="s">
        <v>3</v>
      </c>
      <c r="B275" s="8">
        <f>VLOOKUP(D263,'[1] Wages Sheet FORM XVII'!A$11:U346,17,0)</f>
        <v>1171</v>
      </c>
      <c r="C275" s="19"/>
    </row>
    <row r="276" spans="1:4" x14ac:dyDescent="0.25">
      <c r="A276" s="7" t="s">
        <v>2</v>
      </c>
      <c r="B276" s="8">
        <f>VLOOKUP(D263,'[1] Wages Sheet FORM XVII'!A$11:U346,20,0)</f>
        <v>1253</v>
      </c>
      <c r="C276" s="19"/>
    </row>
    <row r="277" spans="1:4" x14ac:dyDescent="0.25">
      <c r="A277" s="7" t="s">
        <v>1</v>
      </c>
      <c r="B277" s="8">
        <f>VLOOKUP(D263,'[1] Wages Sheet FORM XVII'!A$11:U346,21,0)</f>
        <v>9655.7199999999993</v>
      </c>
      <c r="C277" s="19"/>
    </row>
    <row r="278" spans="1:4" x14ac:dyDescent="0.25">
      <c r="A278" s="7"/>
      <c r="B278" s="7"/>
      <c r="C278" s="19"/>
    </row>
    <row r="279" spans="1:4" x14ac:dyDescent="0.25">
      <c r="A279" s="6"/>
      <c r="B279" s="5" t="s">
        <v>0</v>
      </c>
      <c r="C279" s="19"/>
    </row>
    <row r="280" spans="1:4" x14ac:dyDescent="0.25">
      <c r="A280" s="4"/>
      <c r="B280" s="3"/>
      <c r="C280" s="19"/>
    </row>
    <row r="281" spans="1:4" x14ac:dyDescent="0.25">
      <c r="C281" s="19"/>
    </row>
    <row r="284" spans="1:4" x14ac:dyDescent="0.25">
      <c r="A284" s="20"/>
      <c r="B284" s="20"/>
      <c r="C284" s="20"/>
    </row>
    <row r="285" spans="1:4" ht="13.8" x14ac:dyDescent="0.25">
      <c r="A285" s="18" t="s">
        <v>15</v>
      </c>
      <c r="B285" s="17"/>
      <c r="C285" s="19"/>
      <c r="D285" s="1">
        <f>+D263+1</f>
        <v>14</v>
      </c>
    </row>
    <row r="286" spans="1:4" ht="14.25" customHeight="1" x14ac:dyDescent="0.25">
      <c r="A286" s="16" t="s">
        <v>14</v>
      </c>
      <c r="B286" s="15"/>
      <c r="C286" s="19"/>
    </row>
    <row r="287" spans="1:4" ht="13.8" x14ac:dyDescent="0.25">
      <c r="A287" s="14" t="s">
        <v>13</v>
      </c>
      <c r="B287" s="13"/>
      <c r="C287" s="19"/>
    </row>
    <row r="288" spans="1:4" x14ac:dyDescent="0.25">
      <c r="A288" s="6"/>
      <c r="B288" s="5"/>
      <c r="C288" s="19"/>
    </row>
    <row r="289" spans="1:3" x14ac:dyDescent="0.25">
      <c r="A289" s="12" t="s">
        <v>12</v>
      </c>
      <c r="B289" s="11" t="str">
        <f>+'[1]FORM XIII'!$F$6</f>
        <v>SORYE CONTRUCTION</v>
      </c>
      <c r="C289" s="19"/>
    </row>
    <row r="290" spans="1:3" x14ac:dyDescent="0.25">
      <c r="A290" s="7" t="s">
        <v>11</v>
      </c>
      <c r="B290" s="7" t="str">
        <f>VLOOKUP(D285,'[1] Wages Sheet FORM XVII'!A$11:U368,3,0)</f>
        <v>RAVI KUMAR</v>
      </c>
      <c r="C290" s="19"/>
    </row>
    <row r="291" spans="1:3" x14ac:dyDescent="0.25">
      <c r="A291" s="7" t="s">
        <v>10</v>
      </c>
      <c r="B291" s="10" t="s">
        <v>9</v>
      </c>
      <c r="C291" s="19"/>
    </row>
    <row r="292" spans="1:3" x14ac:dyDescent="0.25">
      <c r="A292" s="7" t="s">
        <v>8</v>
      </c>
      <c r="B292" s="9">
        <f>+B270</f>
        <v>45992</v>
      </c>
      <c r="C292" s="19"/>
    </row>
    <row r="293" spans="1:3" x14ac:dyDescent="0.25">
      <c r="A293" s="7" t="s">
        <v>7</v>
      </c>
      <c r="B293" s="8">
        <f>VLOOKUP(D285,'[1] Wages Sheet FORM XVII'!A$11:U368,11,0)</f>
        <v>25</v>
      </c>
      <c r="C293" s="19"/>
    </row>
    <row r="294" spans="1:3" x14ac:dyDescent="0.25">
      <c r="A294" s="7" t="s">
        <v>6</v>
      </c>
      <c r="B294" s="7">
        <v>0</v>
      </c>
      <c r="C294" s="19"/>
    </row>
    <row r="295" spans="1:3" x14ac:dyDescent="0.25">
      <c r="A295" s="7" t="s">
        <v>5</v>
      </c>
      <c r="B295" s="7">
        <f>VLOOKUP(D285,'[1] Wages Sheet FORM XVII'!A$11:U368,12,0)</f>
        <v>542.04</v>
      </c>
      <c r="C295" s="19"/>
    </row>
    <row r="296" spans="1:3" x14ac:dyDescent="0.25">
      <c r="A296" s="7" t="s">
        <v>4</v>
      </c>
      <c r="B296" s="7">
        <f>VLOOKUP(D285,'[1] Wages Sheet FORM XVII'!A$11:U$34,15,0)</f>
        <v>2100</v>
      </c>
      <c r="C296" s="19"/>
    </row>
    <row r="297" spans="1:3" x14ac:dyDescent="0.25">
      <c r="A297" s="7" t="s">
        <v>3</v>
      </c>
      <c r="B297" s="8">
        <f>VLOOKUP(D285,'[1] Wages Sheet FORM XVII'!A$11:U368,17,0)</f>
        <v>1626</v>
      </c>
      <c r="C297" s="19"/>
    </row>
    <row r="298" spans="1:3" x14ac:dyDescent="0.25">
      <c r="A298" s="7" t="s">
        <v>2</v>
      </c>
      <c r="B298" s="8">
        <f>VLOOKUP(D285,'[1] Wages Sheet FORM XVII'!A$11:U368,20,0)</f>
        <v>1743</v>
      </c>
      <c r="C298" s="19"/>
    </row>
    <row r="299" spans="1:3" x14ac:dyDescent="0.25">
      <c r="A299" s="7" t="s">
        <v>1</v>
      </c>
      <c r="B299" s="8">
        <f>VLOOKUP(D285,'[1] Wages Sheet FORM XVII'!A$11:U368,21,0)</f>
        <v>13908</v>
      </c>
      <c r="C299" s="19"/>
    </row>
    <row r="300" spans="1:3" x14ac:dyDescent="0.25">
      <c r="A300" s="7"/>
      <c r="B300" s="7"/>
      <c r="C300" s="19"/>
    </row>
    <row r="301" spans="1:3" x14ac:dyDescent="0.25">
      <c r="A301" s="6"/>
      <c r="B301" s="5" t="s">
        <v>0</v>
      </c>
      <c r="C301" s="19"/>
    </row>
    <row r="302" spans="1:3" x14ac:dyDescent="0.25">
      <c r="A302" s="4"/>
      <c r="B302" s="3"/>
      <c r="C302" s="19"/>
    </row>
    <row r="303" spans="1:3" x14ac:dyDescent="0.25">
      <c r="C303" s="19"/>
    </row>
    <row r="305" spans="1:4" x14ac:dyDescent="0.25">
      <c r="A305" s="20"/>
      <c r="B305" s="20"/>
      <c r="C305" s="20"/>
    </row>
    <row r="306" spans="1:4" ht="13.8" x14ac:dyDescent="0.25">
      <c r="A306" s="18" t="s">
        <v>15</v>
      </c>
      <c r="B306" s="17"/>
      <c r="C306" s="19"/>
      <c r="D306" s="1">
        <f>+D285+1</f>
        <v>15</v>
      </c>
    </row>
    <row r="307" spans="1:4" ht="14.25" customHeight="1" x14ac:dyDescent="0.25">
      <c r="A307" s="16" t="s">
        <v>14</v>
      </c>
      <c r="B307" s="15"/>
      <c r="C307" s="19"/>
    </row>
    <row r="308" spans="1:4" ht="13.8" x14ac:dyDescent="0.25">
      <c r="A308" s="14" t="s">
        <v>13</v>
      </c>
      <c r="B308" s="13"/>
      <c r="C308" s="19"/>
    </row>
    <row r="309" spans="1:4" x14ac:dyDescent="0.25">
      <c r="A309" s="6"/>
      <c r="B309" s="5"/>
      <c r="C309" s="19"/>
    </row>
    <row r="310" spans="1:4" x14ac:dyDescent="0.25">
      <c r="A310" s="12" t="s">
        <v>12</v>
      </c>
      <c r="B310" s="11" t="str">
        <f>+'[1]FORM XIII'!$F$6</f>
        <v>SORYE CONTRUCTION</v>
      </c>
      <c r="C310" s="19"/>
    </row>
    <row r="311" spans="1:4" x14ac:dyDescent="0.25">
      <c r="A311" s="7" t="s">
        <v>11</v>
      </c>
      <c r="B311" s="7" t="str">
        <f>VLOOKUP(D306,'[1] Wages Sheet FORM XVII'!A$11:U389,3,0)</f>
        <v>GOVIND</v>
      </c>
      <c r="C311" s="19"/>
    </row>
    <row r="312" spans="1:4" x14ac:dyDescent="0.25">
      <c r="A312" s="7" t="s">
        <v>10</v>
      </c>
      <c r="B312" s="10" t="s">
        <v>9</v>
      </c>
      <c r="C312" s="19"/>
    </row>
    <row r="313" spans="1:4" x14ac:dyDescent="0.25">
      <c r="A313" s="7" t="s">
        <v>8</v>
      </c>
      <c r="B313" s="9">
        <f>+B292</f>
        <v>45992</v>
      </c>
      <c r="C313" s="19"/>
    </row>
    <row r="314" spans="1:4" x14ac:dyDescent="0.25">
      <c r="A314" s="7" t="s">
        <v>7</v>
      </c>
      <c r="B314" s="8">
        <f>VLOOKUP(D306,'[1] Wages Sheet FORM XVII'!A$11:U389,11,0)</f>
        <v>18</v>
      </c>
      <c r="C314" s="19"/>
    </row>
    <row r="315" spans="1:4" x14ac:dyDescent="0.25">
      <c r="A315" s="7" t="s">
        <v>6</v>
      </c>
      <c r="B315" s="7">
        <v>0</v>
      </c>
      <c r="C315" s="19"/>
    </row>
    <row r="316" spans="1:4" x14ac:dyDescent="0.25">
      <c r="A316" s="7" t="s">
        <v>5</v>
      </c>
      <c r="B316" s="7">
        <f>VLOOKUP(D306,'[1] Wages Sheet FORM XVII'!A$11:U389,12,0)</f>
        <v>480.77</v>
      </c>
      <c r="C316" s="19"/>
    </row>
    <row r="317" spans="1:4" x14ac:dyDescent="0.25">
      <c r="A317" s="7" t="s">
        <v>4</v>
      </c>
      <c r="B317" s="7">
        <f>VLOOKUP(D306,'[1] Wages Sheet FORM XVII'!A$11:U$34,15,0)</f>
        <v>2344</v>
      </c>
      <c r="C317" s="19"/>
    </row>
    <row r="318" spans="1:4" x14ac:dyDescent="0.25">
      <c r="A318" s="7" t="s">
        <v>3</v>
      </c>
      <c r="B318" s="8">
        <f>VLOOKUP(D306,'[1] Wages Sheet FORM XVII'!A$11:U389,17,0)</f>
        <v>1038</v>
      </c>
      <c r="C318" s="19"/>
    </row>
    <row r="319" spans="1:4" x14ac:dyDescent="0.25">
      <c r="A319" s="7" t="s">
        <v>2</v>
      </c>
      <c r="B319" s="8">
        <f>VLOOKUP(D306,'[1] Wages Sheet FORM XVII'!A$11:U389,20,0)</f>
        <v>1120</v>
      </c>
      <c r="C319" s="19"/>
    </row>
    <row r="320" spans="1:4" x14ac:dyDescent="0.25">
      <c r="A320" s="7" t="s">
        <v>1</v>
      </c>
      <c r="B320" s="8">
        <f>VLOOKUP(D306,'[1] Wages Sheet FORM XVII'!A$11:U389,21,0)</f>
        <v>9877.86</v>
      </c>
      <c r="C320" s="19"/>
    </row>
    <row r="321" spans="1:4" x14ac:dyDescent="0.25">
      <c r="A321" s="7"/>
      <c r="B321" s="7"/>
      <c r="C321" s="19"/>
    </row>
    <row r="322" spans="1:4" x14ac:dyDescent="0.25">
      <c r="A322" s="6"/>
      <c r="B322" s="5" t="s">
        <v>0</v>
      </c>
      <c r="C322" s="19"/>
    </row>
    <row r="323" spans="1:4" x14ac:dyDescent="0.25">
      <c r="A323" s="4"/>
      <c r="B323" s="3"/>
      <c r="C323" s="19"/>
    </row>
    <row r="324" spans="1:4" x14ac:dyDescent="0.25">
      <c r="C324" s="19"/>
    </row>
    <row r="327" spans="1:4" x14ac:dyDescent="0.25">
      <c r="A327" s="20"/>
      <c r="B327" s="20"/>
      <c r="C327" s="20"/>
    </row>
    <row r="328" spans="1:4" ht="13.8" x14ac:dyDescent="0.25">
      <c r="A328" s="18" t="s">
        <v>15</v>
      </c>
      <c r="B328" s="17"/>
      <c r="C328" s="19"/>
      <c r="D328" s="1">
        <f>+D306+1</f>
        <v>16</v>
      </c>
    </row>
    <row r="329" spans="1:4" ht="14.25" customHeight="1" x14ac:dyDescent="0.25">
      <c r="A329" s="16" t="s">
        <v>14</v>
      </c>
      <c r="B329" s="15"/>
      <c r="C329" s="19"/>
    </row>
    <row r="330" spans="1:4" ht="13.8" x14ac:dyDescent="0.25">
      <c r="A330" s="14" t="s">
        <v>13</v>
      </c>
      <c r="B330" s="13"/>
      <c r="C330" s="19"/>
    </row>
    <row r="331" spans="1:4" x14ac:dyDescent="0.25">
      <c r="A331" s="6"/>
      <c r="B331" s="5"/>
      <c r="C331" s="19"/>
    </row>
    <row r="332" spans="1:4" x14ac:dyDescent="0.25">
      <c r="A332" s="12" t="s">
        <v>12</v>
      </c>
      <c r="B332" s="11" t="str">
        <f>+'[1]FORM XIII'!$F$6</f>
        <v>SORYE CONTRUCTION</v>
      </c>
      <c r="C332" s="19"/>
    </row>
    <row r="333" spans="1:4" x14ac:dyDescent="0.25">
      <c r="A333" s="7" t="s">
        <v>11</v>
      </c>
      <c r="B333" s="7" t="str">
        <f>VLOOKUP(D328,'[1] Wages Sheet FORM XVII'!A$11:U411,3,0)</f>
        <v>NEERAJ KUMAR</v>
      </c>
      <c r="C333" s="19"/>
    </row>
    <row r="334" spans="1:4" x14ac:dyDescent="0.25">
      <c r="A334" s="7" t="s">
        <v>10</v>
      </c>
      <c r="B334" s="10" t="s">
        <v>9</v>
      </c>
      <c r="C334" s="19"/>
    </row>
    <row r="335" spans="1:4" x14ac:dyDescent="0.25">
      <c r="A335" s="7" t="s">
        <v>8</v>
      </c>
      <c r="B335" s="9">
        <f>+B313</f>
        <v>45992</v>
      </c>
      <c r="C335" s="19"/>
    </row>
    <row r="336" spans="1:4" x14ac:dyDescent="0.25">
      <c r="A336" s="7" t="s">
        <v>7</v>
      </c>
      <c r="B336" s="8">
        <f>VLOOKUP(D328,'[1] Wages Sheet FORM XVII'!A$11:U411,11,0)</f>
        <v>23</v>
      </c>
      <c r="C336" s="19"/>
    </row>
    <row r="337" spans="1:4" x14ac:dyDescent="0.25">
      <c r="A337" s="7" t="s">
        <v>6</v>
      </c>
      <c r="B337" s="7">
        <v>0</v>
      </c>
      <c r="C337" s="19"/>
    </row>
    <row r="338" spans="1:4" x14ac:dyDescent="0.25">
      <c r="A338" s="7" t="s">
        <v>5</v>
      </c>
      <c r="B338" s="7">
        <f>VLOOKUP(D328,'[1] Wages Sheet FORM XVII'!A$11:U411,12,0)</f>
        <v>480.77</v>
      </c>
      <c r="C338" s="19"/>
    </row>
    <row r="339" spans="1:4" x14ac:dyDescent="0.25">
      <c r="A339" s="7" t="s">
        <v>4</v>
      </c>
      <c r="B339" s="7">
        <f>VLOOKUP(D328,'[1] Wages Sheet FORM XVII'!A$11:U$34,15,0)</f>
        <v>1322</v>
      </c>
      <c r="C339" s="19"/>
    </row>
    <row r="340" spans="1:4" x14ac:dyDescent="0.25">
      <c r="A340" s="7" t="s">
        <v>3</v>
      </c>
      <c r="B340" s="8">
        <f>VLOOKUP(D328,'[1] Wages Sheet FORM XVII'!A$11:U411,17,0)</f>
        <v>1327</v>
      </c>
      <c r="C340" s="19"/>
    </row>
    <row r="341" spans="1:4" x14ac:dyDescent="0.25">
      <c r="A341" s="7" t="s">
        <v>2</v>
      </c>
      <c r="B341" s="8">
        <f>VLOOKUP(D328,'[1] Wages Sheet FORM XVII'!A$11:U411,20,0)</f>
        <v>1420</v>
      </c>
      <c r="C341" s="19"/>
    </row>
    <row r="342" spans="1:4" x14ac:dyDescent="0.25">
      <c r="A342" s="7" t="s">
        <v>1</v>
      </c>
      <c r="B342" s="8">
        <f>VLOOKUP(D328,'[1] Wages Sheet FORM XVII'!A$11:U411,21,0)</f>
        <v>10959.71</v>
      </c>
      <c r="C342" s="19"/>
    </row>
    <row r="343" spans="1:4" x14ac:dyDescent="0.25">
      <c r="A343" s="7"/>
      <c r="B343" s="7"/>
      <c r="C343" s="19"/>
    </row>
    <row r="344" spans="1:4" x14ac:dyDescent="0.25">
      <c r="A344" s="6"/>
      <c r="B344" s="5" t="s">
        <v>0</v>
      </c>
      <c r="C344" s="19"/>
    </row>
    <row r="345" spans="1:4" x14ac:dyDescent="0.25">
      <c r="A345" s="4"/>
      <c r="B345" s="3"/>
      <c r="C345" s="19"/>
    </row>
    <row r="346" spans="1:4" x14ac:dyDescent="0.25">
      <c r="C346" s="19"/>
    </row>
    <row r="349" spans="1:4" x14ac:dyDescent="0.25">
      <c r="A349" s="20"/>
      <c r="B349" s="20"/>
      <c r="C349" s="20"/>
    </row>
    <row r="350" spans="1:4" ht="13.8" x14ac:dyDescent="0.25">
      <c r="A350" s="18" t="s">
        <v>15</v>
      </c>
      <c r="B350" s="17"/>
      <c r="C350" s="19"/>
      <c r="D350" s="1">
        <f>+D328+1</f>
        <v>17</v>
      </c>
    </row>
    <row r="351" spans="1:4" ht="14.25" customHeight="1" x14ac:dyDescent="0.25">
      <c r="A351" s="16" t="s">
        <v>14</v>
      </c>
      <c r="B351" s="15"/>
      <c r="C351" s="19"/>
    </row>
    <row r="352" spans="1:4" ht="13.8" x14ac:dyDescent="0.25">
      <c r="A352" s="14" t="s">
        <v>13</v>
      </c>
      <c r="B352" s="13"/>
      <c r="C352" s="19"/>
    </row>
    <row r="353" spans="1:3" x14ac:dyDescent="0.25">
      <c r="A353" s="6"/>
      <c r="B353" s="5"/>
      <c r="C353" s="19"/>
    </row>
    <row r="354" spans="1:3" x14ac:dyDescent="0.25">
      <c r="A354" s="12" t="s">
        <v>12</v>
      </c>
      <c r="B354" s="11" t="str">
        <f>+'[1]FORM XIII'!$F$6</f>
        <v>SORYE CONTRUCTION</v>
      </c>
      <c r="C354" s="19"/>
    </row>
    <row r="355" spans="1:3" x14ac:dyDescent="0.25">
      <c r="A355" s="7" t="s">
        <v>11</v>
      </c>
      <c r="B355" s="7" t="str">
        <f>VLOOKUP(D350,'[1] Wages Sheet FORM XVII'!A$11:U433,3,0)</f>
        <v>MADAN SINGH</v>
      </c>
      <c r="C355" s="19"/>
    </row>
    <row r="356" spans="1:3" x14ac:dyDescent="0.25">
      <c r="A356" s="7" t="s">
        <v>10</v>
      </c>
      <c r="B356" s="10" t="s">
        <v>9</v>
      </c>
      <c r="C356" s="19"/>
    </row>
    <row r="357" spans="1:3" x14ac:dyDescent="0.25">
      <c r="A357" s="7" t="s">
        <v>8</v>
      </c>
      <c r="B357" s="9">
        <f>+B335</f>
        <v>45992</v>
      </c>
      <c r="C357" s="19"/>
    </row>
    <row r="358" spans="1:3" x14ac:dyDescent="0.25">
      <c r="A358" s="7" t="s">
        <v>7</v>
      </c>
      <c r="B358" s="8">
        <f>VLOOKUP(D350,'[1] Wages Sheet FORM XVII'!A$11:U433,11,0)</f>
        <v>24</v>
      </c>
      <c r="C358" s="19"/>
    </row>
    <row r="359" spans="1:3" x14ac:dyDescent="0.25">
      <c r="A359" s="7" t="s">
        <v>6</v>
      </c>
      <c r="B359" s="7">
        <v>0</v>
      </c>
      <c r="C359" s="19"/>
    </row>
    <row r="360" spans="1:3" x14ac:dyDescent="0.25">
      <c r="A360" s="7" t="s">
        <v>5</v>
      </c>
      <c r="B360" s="7">
        <f>VLOOKUP(D350,'[1] Wages Sheet FORM XVII'!A$11:U433,12,0)</f>
        <v>480.77</v>
      </c>
      <c r="C360" s="19"/>
    </row>
    <row r="361" spans="1:3" x14ac:dyDescent="0.25">
      <c r="A361" s="7" t="s">
        <v>4</v>
      </c>
      <c r="B361" s="7">
        <f>VLOOKUP(D350,'[1] Wages Sheet FORM XVII'!A$11:U$34,15,0)</f>
        <v>1623</v>
      </c>
      <c r="C361" s="19"/>
    </row>
    <row r="362" spans="1:3" x14ac:dyDescent="0.25">
      <c r="A362" s="7" t="s">
        <v>3</v>
      </c>
      <c r="B362" s="8">
        <f>VLOOKUP(D350,'[1] Wages Sheet FORM XVII'!A$11:U433,17,0)</f>
        <v>1385</v>
      </c>
      <c r="C362" s="19"/>
    </row>
    <row r="363" spans="1:3" x14ac:dyDescent="0.25">
      <c r="A363" s="7" t="s">
        <v>2</v>
      </c>
      <c r="B363" s="8">
        <f>VLOOKUP(D350,'[1] Wages Sheet FORM XVII'!A$11:U433,20,0)</f>
        <v>1584</v>
      </c>
      <c r="C363" s="19"/>
    </row>
    <row r="364" spans="1:3" x14ac:dyDescent="0.25">
      <c r="A364" s="7" t="s">
        <v>1</v>
      </c>
      <c r="B364" s="8">
        <f>VLOOKUP(D350,'[1] Wages Sheet FORM XVII'!A$11:U433,21,0)</f>
        <v>11577.48</v>
      </c>
      <c r="C364" s="19"/>
    </row>
    <row r="365" spans="1:3" x14ac:dyDescent="0.25">
      <c r="A365" s="7"/>
      <c r="B365" s="7"/>
      <c r="C365" s="19"/>
    </row>
    <row r="366" spans="1:3" x14ac:dyDescent="0.25">
      <c r="A366" s="6"/>
      <c r="B366" s="5" t="s">
        <v>0</v>
      </c>
      <c r="C366" s="19"/>
    </row>
    <row r="367" spans="1:3" x14ac:dyDescent="0.25">
      <c r="A367" s="4"/>
      <c r="B367" s="3"/>
      <c r="C367" s="19"/>
    </row>
    <row r="368" spans="1:3" x14ac:dyDescent="0.25">
      <c r="C368" s="19"/>
    </row>
    <row r="372" spans="1:4" x14ac:dyDescent="0.25">
      <c r="A372" s="20"/>
      <c r="B372" s="20"/>
      <c r="C372" s="20"/>
    </row>
    <row r="373" spans="1:4" ht="13.8" x14ac:dyDescent="0.25">
      <c r="A373" s="18" t="s">
        <v>15</v>
      </c>
      <c r="B373" s="17"/>
      <c r="C373" s="19"/>
      <c r="D373" s="1">
        <f>+D350+1</f>
        <v>18</v>
      </c>
    </row>
    <row r="374" spans="1:4" ht="14.25" customHeight="1" x14ac:dyDescent="0.25">
      <c r="A374" s="16" t="s">
        <v>14</v>
      </c>
      <c r="B374" s="15"/>
      <c r="C374" s="19"/>
    </row>
    <row r="375" spans="1:4" ht="13.8" x14ac:dyDescent="0.25">
      <c r="A375" s="14" t="s">
        <v>13</v>
      </c>
      <c r="B375" s="13"/>
      <c r="C375" s="19"/>
    </row>
    <row r="376" spans="1:4" x14ac:dyDescent="0.25">
      <c r="A376" s="6"/>
      <c r="B376" s="5"/>
      <c r="C376" s="19"/>
    </row>
    <row r="377" spans="1:4" x14ac:dyDescent="0.25">
      <c r="A377" s="12" t="s">
        <v>12</v>
      </c>
      <c r="B377" s="11" t="str">
        <f>+'[1]FORM XIII'!$F$6</f>
        <v>SORYE CONTRUCTION</v>
      </c>
      <c r="C377" s="19"/>
    </row>
    <row r="378" spans="1:4" x14ac:dyDescent="0.25">
      <c r="A378" s="7" t="s">
        <v>11</v>
      </c>
      <c r="B378" s="7" t="str">
        <f>VLOOKUP(D373,'[1] Wages Sheet FORM XVII'!A$11:U456,3,0)</f>
        <v>BABLU</v>
      </c>
      <c r="C378" s="19"/>
    </row>
    <row r="379" spans="1:4" x14ac:dyDescent="0.25">
      <c r="A379" s="7" t="s">
        <v>10</v>
      </c>
      <c r="B379" s="10" t="s">
        <v>9</v>
      </c>
      <c r="C379" s="19"/>
    </row>
    <row r="380" spans="1:4" x14ac:dyDescent="0.25">
      <c r="A380" s="7" t="s">
        <v>8</v>
      </c>
      <c r="B380" s="9">
        <f>+B357</f>
        <v>45992</v>
      </c>
      <c r="C380" s="19"/>
    </row>
    <row r="381" spans="1:4" x14ac:dyDescent="0.25">
      <c r="A381" s="7" t="s">
        <v>7</v>
      </c>
      <c r="B381" s="8">
        <f>VLOOKUP(D373,'[1] Wages Sheet FORM XVII'!A$11:U456,11,0)</f>
        <v>20</v>
      </c>
      <c r="C381" s="19"/>
    </row>
    <row r="382" spans="1:4" x14ac:dyDescent="0.25">
      <c r="A382" s="7" t="s">
        <v>6</v>
      </c>
      <c r="B382" s="7">
        <v>0</v>
      </c>
      <c r="C382" s="19"/>
    </row>
    <row r="383" spans="1:4" x14ac:dyDescent="0.25">
      <c r="A383" s="7" t="s">
        <v>5</v>
      </c>
      <c r="B383" s="7">
        <f>VLOOKUP(D373,'[1] Wages Sheet FORM XVII'!A$11:U456,12,0)</f>
        <v>480.77</v>
      </c>
      <c r="C383" s="19"/>
    </row>
    <row r="384" spans="1:4" x14ac:dyDescent="0.25">
      <c r="A384" s="7" t="s">
        <v>4</v>
      </c>
      <c r="B384" s="7">
        <f>VLOOKUP(D373,'[1] Wages Sheet FORM XVII'!A$11:U$34,15,0)</f>
        <v>841</v>
      </c>
      <c r="C384" s="19"/>
    </row>
    <row r="385" spans="1:4" x14ac:dyDescent="0.25">
      <c r="A385" s="7" t="s">
        <v>3</v>
      </c>
      <c r="B385" s="8">
        <f>VLOOKUP(D373,'[1] Wages Sheet FORM XVII'!A$11:U456,17,0)</f>
        <v>1154</v>
      </c>
      <c r="C385" s="19"/>
    </row>
    <row r="386" spans="1:4" x14ac:dyDescent="0.25">
      <c r="A386" s="7" t="s">
        <v>2</v>
      </c>
      <c r="B386" s="8">
        <f>VLOOKUP(D373,'[1] Wages Sheet FORM XVII'!A$11:U456,20,0)</f>
        <v>1382</v>
      </c>
      <c r="C386" s="19"/>
    </row>
    <row r="387" spans="1:4" x14ac:dyDescent="0.25">
      <c r="A387" s="7" t="s">
        <v>1</v>
      </c>
      <c r="B387" s="8">
        <f>VLOOKUP(D373,'[1] Wages Sheet FORM XVII'!A$11:U456,21,0)</f>
        <v>9074.4</v>
      </c>
      <c r="C387" s="19"/>
    </row>
    <row r="388" spans="1:4" x14ac:dyDescent="0.25">
      <c r="A388" s="7"/>
      <c r="B388" s="7"/>
      <c r="C388" s="19"/>
    </row>
    <row r="389" spans="1:4" x14ac:dyDescent="0.25">
      <c r="A389" s="6"/>
      <c r="B389" s="5" t="s">
        <v>0</v>
      </c>
      <c r="C389" s="19"/>
    </row>
    <row r="390" spans="1:4" x14ac:dyDescent="0.25">
      <c r="A390" s="4"/>
      <c r="B390" s="3"/>
      <c r="C390" s="19"/>
    </row>
    <row r="391" spans="1:4" x14ac:dyDescent="0.25">
      <c r="C391" s="19"/>
    </row>
    <row r="394" spans="1:4" x14ac:dyDescent="0.25">
      <c r="A394" s="20"/>
      <c r="B394" s="20"/>
      <c r="C394" s="20"/>
    </row>
    <row r="395" spans="1:4" ht="13.8" x14ac:dyDescent="0.25">
      <c r="A395" s="18" t="s">
        <v>15</v>
      </c>
      <c r="B395" s="17"/>
      <c r="C395" s="19"/>
      <c r="D395" s="1">
        <f>+D373+1</f>
        <v>19</v>
      </c>
    </row>
    <row r="396" spans="1:4" ht="14.25" customHeight="1" x14ac:dyDescent="0.25">
      <c r="A396" s="16" t="s">
        <v>14</v>
      </c>
      <c r="B396" s="15"/>
      <c r="C396" s="19"/>
    </row>
    <row r="397" spans="1:4" ht="13.8" x14ac:dyDescent="0.25">
      <c r="A397" s="14" t="s">
        <v>13</v>
      </c>
      <c r="B397" s="13"/>
      <c r="C397" s="19"/>
    </row>
    <row r="398" spans="1:4" x14ac:dyDescent="0.25">
      <c r="A398" s="6"/>
      <c r="B398" s="5"/>
      <c r="C398" s="19"/>
    </row>
    <row r="399" spans="1:4" x14ac:dyDescent="0.25">
      <c r="A399" s="12" t="s">
        <v>12</v>
      </c>
      <c r="B399" s="11" t="str">
        <f>+'[1]FORM XIII'!$F$6</f>
        <v>SORYE CONTRUCTION</v>
      </c>
      <c r="C399" s="19"/>
    </row>
    <row r="400" spans="1:4" x14ac:dyDescent="0.25">
      <c r="A400" s="7" t="s">
        <v>11</v>
      </c>
      <c r="B400" s="7" t="str">
        <f>VLOOKUP(D395,'[1] Wages Sheet FORM XVII'!A$11:U478,3,0)</f>
        <v>MUKESH</v>
      </c>
      <c r="C400" s="19"/>
    </row>
    <row r="401" spans="1:3" x14ac:dyDescent="0.25">
      <c r="A401" s="7" t="s">
        <v>10</v>
      </c>
      <c r="B401" s="10" t="s">
        <v>9</v>
      </c>
      <c r="C401" s="19"/>
    </row>
    <row r="402" spans="1:3" x14ac:dyDescent="0.25">
      <c r="A402" s="7" t="s">
        <v>8</v>
      </c>
      <c r="B402" s="9">
        <f>+B380</f>
        <v>45992</v>
      </c>
      <c r="C402" s="19"/>
    </row>
    <row r="403" spans="1:3" x14ac:dyDescent="0.25">
      <c r="A403" s="7" t="s">
        <v>7</v>
      </c>
      <c r="B403" s="8">
        <f>VLOOKUP(D395,'[1] Wages Sheet FORM XVII'!A$11:U478,11,0)</f>
        <v>23</v>
      </c>
      <c r="C403" s="19"/>
    </row>
    <row r="404" spans="1:3" x14ac:dyDescent="0.25">
      <c r="A404" s="7" t="s">
        <v>6</v>
      </c>
      <c r="B404" s="7">
        <v>0</v>
      </c>
      <c r="C404" s="19"/>
    </row>
    <row r="405" spans="1:3" x14ac:dyDescent="0.25">
      <c r="A405" s="7" t="s">
        <v>5</v>
      </c>
      <c r="B405" s="7">
        <f>VLOOKUP(D395,'[1] Wages Sheet FORM XVII'!A$11:U478,12,0)</f>
        <v>480.77</v>
      </c>
      <c r="C405" s="19"/>
    </row>
    <row r="406" spans="1:3" x14ac:dyDescent="0.25">
      <c r="A406" s="7" t="s">
        <v>4</v>
      </c>
      <c r="B406" s="7">
        <f>VLOOKUP(D395,'[1] Wages Sheet FORM XVII'!A$11:U$34,15,0)</f>
        <v>1502</v>
      </c>
      <c r="C406" s="19"/>
    </row>
    <row r="407" spans="1:3" x14ac:dyDescent="0.25">
      <c r="A407" s="7" t="s">
        <v>3</v>
      </c>
      <c r="B407" s="8">
        <f>VLOOKUP(D395,'[1] Wages Sheet FORM XVII'!A$11:U478,17,0)</f>
        <v>1327</v>
      </c>
      <c r="C407" s="19"/>
    </row>
    <row r="408" spans="1:3" x14ac:dyDescent="0.25">
      <c r="A408" s="7" t="s">
        <v>2</v>
      </c>
      <c r="B408" s="8">
        <f>VLOOKUP(D395,'[1] Wages Sheet FORM XVII'!A$11:U478,20,0)</f>
        <v>1483</v>
      </c>
      <c r="C408" s="19"/>
    </row>
    <row r="409" spans="1:3" x14ac:dyDescent="0.25">
      <c r="A409" s="7" t="s">
        <v>1</v>
      </c>
      <c r="B409" s="8">
        <f>VLOOKUP(D395,'[1] Wages Sheet FORM XVII'!A$11:U478,21,0)</f>
        <v>11076.71</v>
      </c>
      <c r="C409" s="19"/>
    </row>
    <row r="410" spans="1:3" x14ac:dyDescent="0.25">
      <c r="A410" s="7"/>
      <c r="B410" s="7"/>
      <c r="C410" s="19"/>
    </row>
    <row r="411" spans="1:3" x14ac:dyDescent="0.25">
      <c r="A411" s="6"/>
      <c r="B411" s="5" t="s">
        <v>0</v>
      </c>
      <c r="C411" s="19"/>
    </row>
    <row r="412" spans="1:3" x14ac:dyDescent="0.25">
      <c r="A412" s="4"/>
      <c r="B412" s="3"/>
      <c r="C412" s="19"/>
    </row>
    <row r="413" spans="1:3" x14ac:dyDescent="0.25">
      <c r="C413" s="19"/>
    </row>
    <row r="416" spans="1:3" x14ac:dyDescent="0.25">
      <c r="A416" s="20"/>
      <c r="B416" s="20"/>
      <c r="C416" s="20"/>
    </row>
    <row r="417" spans="1:4" ht="13.8" x14ac:dyDescent="0.25">
      <c r="A417" s="18" t="s">
        <v>15</v>
      </c>
      <c r="B417" s="17"/>
      <c r="C417" s="19"/>
      <c r="D417" s="1">
        <f>+D395+1</f>
        <v>20</v>
      </c>
    </row>
    <row r="418" spans="1:4" ht="14.25" customHeight="1" x14ac:dyDescent="0.25">
      <c r="A418" s="16" t="s">
        <v>14</v>
      </c>
      <c r="B418" s="15"/>
      <c r="C418" s="19"/>
    </row>
    <row r="419" spans="1:4" ht="13.8" x14ac:dyDescent="0.25">
      <c r="A419" s="14" t="s">
        <v>13</v>
      </c>
      <c r="B419" s="13"/>
      <c r="C419" s="19"/>
    </row>
    <row r="420" spans="1:4" x14ac:dyDescent="0.25">
      <c r="A420" s="6"/>
      <c r="B420" s="5"/>
      <c r="C420" s="19"/>
    </row>
    <row r="421" spans="1:4" x14ac:dyDescent="0.25">
      <c r="A421" s="12" t="s">
        <v>12</v>
      </c>
      <c r="B421" s="11" t="str">
        <f>+'[1]FORM XIII'!$F$6</f>
        <v>SORYE CONTRUCTION</v>
      </c>
      <c r="C421" s="19"/>
    </row>
    <row r="422" spans="1:4" x14ac:dyDescent="0.25">
      <c r="A422" s="7" t="s">
        <v>11</v>
      </c>
      <c r="B422" s="7" t="str">
        <f>VLOOKUP(D417,'[1] Wages Sheet FORM XVII'!A$11:U500,3,0)</f>
        <v>AKSHAY KUMAR</v>
      </c>
      <c r="C422" s="19"/>
    </row>
    <row r="423" spans="1:4" x14ac:dyDescent="0.25">
      <c r="A423" s="7" t="s">
        <v>10</v>
      </c>
      <c r="B423" s="10" t="s">
        <v>9</v>
      </c>
      <c r="C423" s="19"/>
    </row>
    <row r="424" spans="1:4" x14ac:dyDescent="0.25">
      <c r="A424" s="7" t="s">
        <v>8</v>
      </c>
      <c r="B424" s="9">
        <f>+B402</f>
        <v>45992</v>
      </c>
      <c r="C424" s="19"/>
    </row>
    <row r="425" spans="1:4" x14ac:dyDescent="0.25">
      <c r="A425" s="7" t="s">
        <v>7</v>
      </c>
      <c r="B425" s="8">
        <f>VLOOKUP(D417,'[1] Wages Sheet FORM XVII'!A$11:U500,11,0)</f>
        <v>24</v>
      </c>
      <c r="C425" s="19"/>
    </row>
    <row r="426" spans="1:4" x14ac:dyDescent="0.25">
      <c r="A426" s="7" t="s">
        <v>6</v>
      </c>
      <c r="B426" s="7">
        <v>0</v>
      </c>
      <c r="C426" s="19"/>
    </row>
    <row r="427" spans="1:4" x14ac:dyDescent="0.25">
      <c r="A427" s="7" t="s">
        <v>5</v>
      </c>
      <c r="B427" s="7">
        <f>VLOOKUP(D417,'[1] Wages Sheet FORM XVII'!A$11:U500,12,0)</f>
        <v>480.77</v>
      </c>
      <c r="C427" s="19"/>
    </row>
    <row r="428" spans="1:4" x14ac:dyDescent="0.25">
      <c r="A428" s="7" t="s">
        <v>4</v>
      </c>
      <c r="B428" s="7">
        <f>VLOOKUP(D417,'[1] Wages Sheet FORM XVII'!A$11:U$34,15,0)</f>
        <v>1803</v>
      </c>
      <c r="C428" s="19"/>
    </row>
    <row r="429" spans="1:4" x14ac:dyDescent="0.25">
      <c r="A429" s="7" t="s">
        <v>3</v>
      </c>
      <c r="B429" s="8">
        <f>VLOOKUP(D417,'[1] Wages Sheet FORM XVII'!A$11:U500,17,0)</f>
        <v>1385</v>
      </c>
      <c r="C429" s="19"/>
    </row>
    <row r="430" spans="1:4" x14ac:dyDescent="0.25">
      <c r="A430" s="7" t="s">
        <v>2</v>
      </c>
      <c r="B430" s="8">
        <f>VLOOKUP(D417,'[1] Wages Sheet FORM XVII'!A$11:U500,20,0)</f>
        <v>1485</v>
      </c>
      <c r="C430" s="19"/>
    </row>
    <row r="431" spans="1:4" x14ac:dyDescent="0.25">
      <c r="A431" s="7" t="s">
        <v>1</v>
      </c>
      <c r="B431" s="8">
        <f>VLOOKUP(D417,'[1] Wages Sheet FORM XVII'!A$11:U500,21,0)</f>
        <v>11856.48</v>
      </c>
      <c r="C431" s="19"/>
    </row>
    <row r="432" spans="1:4" x14ac:dyDescent="0.25">
      <c r="A432" s="7"/>
      <c r="B432" s="7"/>
      <c r="C432" s="19"/>
    </row>
    <row r="433" spans="1:4" x14ac:dyDescent="0.25">
      <c r="A433" s="6"/>
      <c r="B433" s="5" t="s">
        <v>0</v>
      </c>
      <c r="C433" s="19"/>
    </row>
    <row r="434" spans="1:4" x14ac:dyDescent="0.25">
      <c r="A434" s="4"/>
      <c r="B434" s="3"/>
      <c r="C434" s="19"/>
    </row>
    <row r="435" spans="1:4" x14ac:dyDescent="0.25">
      <c r="C435" s="19"/>
    </row>
    <row r="438" spans="1:4" x14ac:dyDescent="0.25">
      <c r="A438" s="20"/>
      <c r="B438" s="20"/>
      <c r="C438" s="20"/>
    </row>
    <row r="439" spans="1:4" ht="13.8" x14ac:dyDescent="0.25">
      <c r="A439" s="18" t="s">
        <v>15</v>
      </c>
      <c r="B439" s="17"/>
      <c r="C439" s="19"/>
      <c r="D439" s="1">
        <f>+D417+1</f>
        <v>21</v>
      </c>
    </row>
    <row r="440" spans="1:4" ht="14.25" customHeight="1" x14ac:dyDescent="0.25">
      <c r="A440" s="16" t="s">
        <v>14</v>
      </c>
      <c r="B440" s="15"/>
      <c r="C440" s="19"/>
    </row>
    <row r="441" spans="1:4" ht="13.8" x14ac:dyDescent="0.25">
      <c r="A441" s="14" t="s">
        <v>13</v>
      </c>
      <c r="B441" s="13"/>
      <c r="C441" s="19"/>
    </row>
    <row r="442" spans="1:4" x14ac:dyDescent="0.25">
      <c r="A442" s="6"/>
      <c r="B442" s="5"/>
      <c r="C442" s="19"/>
    </row>
    <row r="443" spans="1:4" x14ac:dyDescent="0.25">
      <c r="A443" s="12" t="s">
        <v>12</v>
      </c>
      <c r="B443" s="11" t="str">
        <f>+'[1]FORM XIII'!$F$6</f>
        <v>SORYE CONTRUCTION</v>
      </c>
      <c r="C443" s="19"/>
    </row>
    <row r="444" spans="1:4" x14ac:dyDescent="0.25">
      <c r="A444" s="7" t="s">
        <v>11</v>
      </c>
      <c r="B444" s="7" t="str">
        <f>VLOOKUP(D439,'[1] Wages Sheet FORM XVII'!A$11:U522,3,0)</f>
        <v>MONU</v>
      </c>
      <c r="C444" s="19"/>
    </row>
    <row r="445" spans="1:4" x14ac:dyDescent="0.25">
      <c r="A445" s="7" t="s">
        <v>10</v>
      </c>
      <c r="B445" s="10" t="s">
        <v>9</v>
      </c>
      <c r="C445" s="19"/>
    </row>
    <row r="446" spans="1:4" x14ac:dyDescent="0.25">
      <c r="A446" s="7" t="s">
        <v>8</v>
      </c>
      <c r="B446" s="9">
        <f>+B424</f>
        <v>45992</v>
      </c>
      <c r="C446" s="19"/>
    </row>
    <row r="447" spans="1:4" x14ac:dyDescent="0.25">
      <c r="A447" s="7" t="s">
        <v>7</v>
      </c>
      <c r="B447" s="8">
        <f>VLOOKUP(D439,'[1] Wages Sheet FORM XVII'!A$11:U522,11,0)</f>
        <v>26</v>
      </c>
      <c r="C447" s="19"/>
    </row>
    <row r="448" spans="1:4" x14ac:dyDescent="0.25">
      <c r="A448" s="7" t="s">
        <v>6</v>
      </c>
      <c r="B448" s="7">
        <v>0</v>
      </c>
      <c r="C448" s="19"/>
    </row>
    <row r="449" spans="1:4" x14ac:dyDescent="0.25">
      <c r="A449" s="7" t="s">
        <v>5</v>
      </c>
      <c r="B449" s="7">
        <f>VLOOKUP(D439,'[1] Wages Sheet FORM XVII'!A$11:U522,12,0)</f>
        <v>480.77</v>
      </c>
      <c r="C449" s="19"/>
    </row>
    <row r="450" spans="1:4" x14ac:dyDescent="0.25">
      <c r="A450" s="7" t="s">
        <v>4</v>
      </c>
      <c r="B450" s="7">
        <f>VLOOKUP(D439,'[1] Wages Sheet FORM XVII'!A$11:U$34,15,0)</f>
        <v>1743</v>
      </c>
      <c r="C450" s="19"/>
    </row>
    <row r="451" spans="1:4" x14ac:dyDescent="0.25">
      <c r="A451" s="7" t="s">
        <v>3</v>
      </c>
      <c r="B451" s="8">
        <f>VLOOKUP(D439,'[1] Wages Sheet FORM XVII'!A$11:U522,17,0)</f>
        <v>1500</v>
      </c>
      <c r="C451" s="19"/>
    </row>
    <row r="452" spans="1:4" x14ac:dyDescent="0.25">
      <c r="A452" s="7" t="s">
        <v>2</v>
      </c>
      <c r="B452" s="8">
        <f>VLOOKUP(D439,'[1] Wages Sheet FORM XVII'!A$11:U522,20,0)</f>
        <v>1607</v>
      </c>
      <c r="C452" s="19"/>
    </row>
    <row r="453" spans="1:4" x14ac:dyDescent="0.25">
      <c r="A453" s="7" t="s">
        <v>1</v>
      </c>
      <c r="B453" s="8">
        <f>VLOOKUP(D439,'[1] Wages Sheet FORM XVII'!A$11:U522,21,0)</f>
        <v>12636.02</v>
      </c>
      <c r="C453" s="19"/>
    </row>
    <row r="454" spans="1:4" x14ac:dyDescent="0.25">
      <c r="A454" s="7"/>
      <c r="B454" s="7"/>
      <c r="C454" s="19"/>
    </row>
    <row r="455" spans="1:4" x14ac:dyDescent="0.25">
      <c r="A455" s="6"/>
      <c r="B455" s="5" t="s">
        <v>0</v>
      </c>
      <c r="C455" s="19"/>
    </row>
    <row r="456" spans="1:4" x14ac:dyDescent="0.25">
      <c r="A456" s="4"/>
      <c r="B456" s="3"/>
      <c r="C456" s="19"/>
    </row>
    <row r="457" spans="1:4" x14ac:dyDescent="0.25">
      <c r="C457" s="19"/>
    </row>
    <row r="459" spans="1:4" x14ac:dyDescent="0.25">
      <c r="A459" s="20"/>
      <c r="B459" s="20"/>
      <c r="C459" s="20"/>
    </row>
    <row r="460" spans="1:4" ht="13.8" x14ac:dyDescent="0.25">
      <c r="A460" s="18" t="s">
        <v>15</v>
      </c>
      <c r="B460" s="17"/>
      <c r="C460" s="19"/>
      <c r="D460" s="1">
        <f>+D439+1</f>
        <v>22</v>
      </c>
    </row>
    <row r="461" spans="1:4" ht="14.25" customHeight="1" x14ac:dyDescent="0.25">
      <c r="A461" s="16" t="s">
        <v>14</v>
      </c>
      <c r="B461" s="15"/>
      <c r="C461" s="19"/>
    </row>
    <row r="462" spans="1:4" ht="13.8" x14ac:dyDescent="0.25">
      <c r="A462" s="14" t="s">
        <v>13</v>
      </c>
      <c r="B462" s="13"/>
      <c r="C462" s="19"/>
    </row>
    <row r="463" spans="1:4" x14ac:dyDescent="0.25">
      <c r="A463" s="6"/>
      <c r="B463" s="5"/>
      <c r="C463" s="19"/>
    </row>
    <row r="464" spans="1:4" x14ac:dyDescent="0.25">
      <c r="A464" s="12" t="s">
        <v>12</v>
      </c>
      <c r="B464" s="11" t="str">
        <f>+'[1]FORM XIII'!$F$6</f>
        <v>SORYE CONTRUCTION</v>
      </c>
      <c r="C464" s="19"/>
    </row>
    <row r="465" spans="1:3" x14ac:dyDescent="0.25">
      <c r="A465" s="7" t="s">
        <v>11</v>
      </c>
      <c r="B465" s="7" t="str">
        <f>VLOOKUP(D460,'[1] Wages Sheet FORM XVII'!A$11:U543,3,0)</f>
        <v>ANUJ</v>
      </c>
      <c r="C465" s="19"/>
    </row>
    <row r="466" spans="1:3" x14ac:dyDescent="0.25">
      <c r="A466" s="7" t="s">
        <v>10</v>
      </c>
      <c r="B466" s="10" t="s">
        <v>9</v>
      </c>
      <c r="C466" s="19"/>
    </row>
    <row r="467" spans="1:3" x14ac:dyDescent="0.25">
      <c r="A467" s="7" t="s">
        <v>8</v>
      </c>
      <c r="B467" s="9">
        <f>+B446</f>
        <v>45992</v>
      </c>
      <c r="C467" s="19"/>
    </row>
    <row r="468" spans="1:3" x14ac:dyDescent="0.25">
      <c r="A468" s="7" t="s">
        <v>7</v>
      </c>
      <c r="B468" s="8">
        <f>VLOOKUP(D460,'[1] Wages Sheet FORM XVII'!A$11:U543,11,0)</f>
        <v>16</v>
      </c>
      <c r="C468" s="19"/>
    </row>
    <row r="469" spans="1:3" x14ac:dyDescent="0.25">
      <c r="A469" s="7" t="s">
        <v>6</v>
      </c>
      <c r="B469" s="7">
        <v>0</v>
      </c>
      <c r="C469" s="19"/>
    </row>
    <row r="470" spans="1:3" x14ac:dyDescent="0.25">
      <c r="A470" s="7" t="s">
        <v>5</v>
      </c>
      <c r="B470" s="7">
        <f>VLOOKUP(D460,'[1] Wages Sheet FORM XVII'!A$11:U543,12,0)</f>
        <v>480.77</v>
      </c>
      <c r="C470" s="19"/>
    </row>
    <row r="471" spans="1:3" x14ac:dyDescent="0.25">
      <c r="A471" s="7" t="s">
        <v>4</v>
      </c>
      <c r="B471" s="7">
        <f>VLOOKUP(D460,'[1] Wages Sheet FORM XVII'!A$11:U$34,15,0)</f>
        <v>962</v>
      </c>
      <c r="C471" s="19"/>
    </row>
    <row r="472" spans="1:3" x14ac:dyDescent="0.25">
      <c r="A472" s="7" t="s">
        <v>3</v>
      </c>
      <c r="B472" s="8">
        <f>VLOOKUP(D460,'[1] Wages Sheet FORM XVII'!A$11:U543,17,0)</f>
        <v>923</v>
      </c>
      <c r="C472" s="19"/>
    </row>
    <row r="473" spans="1:3" x14ac:dyDescent="0.25">
      <c r="A473" s="7" t="s">
        <v>2</v>
      </c>
      <c r="B473" s="8">
        <f>VLOOKUP(D460,'[1] Wages Sheet FORM XVII'!A$11:U543,20,0)</f>
        <v>1488</v>
      </c>
      <c r="C473" s="19"/>
    </row>
    <row r="474" spans="1:3" x14ac:dyDescent="0.25">
      <c r="A474" s="7" t="s">
        <v>1</v>
      </c>
      <c r="B474" s="8">
        <f>VLOOKUP(D460,'[1] Wages Sheet FORM XVII'!A$11:U543,21,0)</f>
        <v>7166.32</v>
      </c>
      <c r="C474" s="19"/>
    </row>
    <row r="475" spans="1:3" x14ac:dyDescent="0.25">
      <c r="A475" s="7"/>
      <c r="B475" s="7"/>
      <c r="C475" s="19"/>
    </row>
    <row r="476" spans="1:3" x14ac:dyDescent="0.25">
      <c r="A476" s="6"/>
      <c r="B476" s="5" t="s">
        <v>0</v>
      </c>
      <c r="C476" s="19"/>
    </row>
    <row r="477" spans="1:3" x14ac:dyDescent="0.25">
      <c r="A477" s="4"/>
      <c r="B477" s="3"/>
      <c r="C477" s="19"/>
    </row>
    <row r="478" spans="1:3" x14ac:dyDescent="0.25">
      <c r="C478" s="19"/>
    </row>
    <row r="481" spans="1:4" x14ac:dyDescent="0.25">
      <c r="A481" s="20"/>
      <c r="B481" s="20"/>
      <c r="C481" s="20"/>
    </row>
    <row r="482" spans="1:4" ht="13.8" x14ac:dyDescent="0.25">
      <c r="A482" s="18" t="s">
        <v>15</v>
      </c>
      <c r="B482" s="17"/>
      <c r="C482" s="19"/>
      <c r="D482" s="1">
        <f>+D460+1</f>
        <v>23</v>
      </c>
    </row>
    <row r="483" spans="1:4" ht="13.8" x14ac:dyDescent="0.25">
      <c r="A483" s="16" t="s">
        <v>14</v>
      </c>
      <c r="B483" s="15"/>
      <c r="C483" s="19"/>
    </row>
    <row r="484" spans="1:4" ht="13.8" x14ac:dyDescent="0.25">
      <c r="A484" s="14" t="s">
        <v>13</v>
      </c>
      <c r="B484" s="13"/>
      <c r="C484" s="19"/>
    </row>
    <row r="485" spans="1:4" x14ac:dyDescent="0.25">
      <c r="A485" s="6"/>
      <c r="B485" s="5"/>
      <c r="C485" s="19"/>
    </row>
    <row r="486" spans="1:4" x14ac:dyDescent="0.25">
      <c r="A486" s="12" t="s">
        <v>12</v>
      </c>
      <c r="B486" s="11" t="str">
        <f>+'[1]FORM XIII'!$F$6</f>
        <v>SORYE CONTRUCTION</v>
      </c>
      <c r="C486" s="19"/>
    </row>
    <row r="487" spans="1:4" x14ac:dyDescent="0.25">
      <c r="A487" s="7" t="s">
        <v>11</v>
      </c>
      <c r="B487" s="7" t="str">
        <f>VLOOKUP(D482,'[1] Wages Sheet FORM XVII'!A$11:U565,3,0)</f>
        <v>ANKIT</v>
      </c>
      <c r="C487" s="19"/>
    </row>
    <row r="488" spans="1:4" x14ac:dyDescent="0.25">
      <c r="A488" s="7" t="s">
        <v>10</v>
      </c>
      <c r="B488" s="21" t="s">
        <v>9</v>
      </c>
      <c r="C488" s="19"/>
    </row>
    <row r="489" spans="1:4" x14ac:dyDescent="0.25">
      <c r="A489" s="7" t="s">
        <v>8</v>
      </c>
      <c r="B489" s="9">
        <f>+B467</f>
        <v>45992</v>
      </c>
      <c r="C489" s="19"/>
    </row>
    <row r="490" spans="1:4" x14ac:dyDescent="0.25">
      <c r="A490" s="7" t="s">
        <v>7</v>
      </c>
      <c r="B490" s="8">
        <f>VLOOKUP(D482,'[1] Wages Sheet FORM XVII'!A$11:U565,11,0)</f>
        <v>17</v>
      </c>
      <c r="C490" s="19"/>
    </row>
    <row r="491" spans="1:4" x14ac:dyDescent="0.25">
      <c r="A491" s="7" t="s">
        <v>6</v>
      </c>
      <c r="B491" s="7">
        <v>0</v>
      </c>
      <c r="C491" s="19"/>
    </row>
    <row r="492" spans="1:4" x14ac:dyDescent="0.25">
      <c r="A492" s="7" t="s">
        <v>5</v>
      </c>
      <c r="B492" s="7">
        <f>VLOOKUP(D482,'[1] Wages Sheet FORM XVII'!A$11:U565,12,0)</f>
        <v>480.77</v>
      </c>
      <c r="C492" s="19"/>
    </row>
    <row r="493" spans="1:4" x14ac:dyDescent="0.25">
      <c r="A493" s="7" t="s">
        <v>4</v>
      </c>
      <c r="B493" s="7">
        <f>VLOOKUP(D482,'[1] Wages Sheet FORM XVII'!A$11:U$34,15,0)</f>
        <v>421</v>
      </c>
      <c r="C493" s="19"/>
    </row>
    <row r="494" spans="1:4" x14ac:dyDescent="0.25">
      <c r="A494" s="7" t="s">
        <v>3</v>
      </c>
      <c r="B494" s="8">
        <f>VLOOKUP(D482,'[1] Wages Sheet FORM XVII'!A$11:U565,17,0)</f>
        <v>981</v>
      </c>
      <c r="C494" s="19"/>
    </row>
    <row r="495" spans="1:4" x14ac:dyDescent="0.25">
      <c r="A495" s="7" t="s">
        <v>2</v>
      </c>
      <c r="B495" s="8">
        <f>VLOOKUP(D482,'[1] Wages Sheet FORM XVII'!A$11:U565,20,0)</f>
        <v>1045</v>
      </c>
      <c r="C495" s="19"/>
    </row>
    <row r="496" spans="1:4" x14ac:dyDescent="0.25">
      <c r="A496" s="7" t="s">
        <v>1</v>
      </c>
      <c r="B496" s="8">
        <f>VLOOKUP(D482,'[1] Wages Sheet FORM XVII'!A$11:U565,21,0)</f>
        <v>7549.09</v>
      </c>
      <c r="C496" s="19"/>
    </row>
    <row r="497" spans="1:4" x14ac:dyDescent="0.25">
      <c r="A497" s="7"/>
      <c r="B497" s="7"/>
      <c r="C497" s="19"/>
    </row>
    <row r="498" spans="1:4" x14ac:dyDescent="0.25">
      <c r="A498" s="6"/>
      <c r="B498" s="5" t="s">
        <v>0</v>
      </c>
      <c r="C498" s="19"/>
    </row>
    <row r="499" spans="1:4" x14ac:dyDescent="0.25">
      <c r="A499" s="4"/>
      <c r="B499" s="3"/>
      <c r="C499" s="19"/>
    </row>
    <row r="500" spans="1:4" x14ac:dyDescent="0.25">
      <c r="C500" s="19"/>
    </row>
    <row r="502" spans="1:4" x14ac:dyDescent="0.25">
      <c r="A502" s="20"/>
      <c r="B502" s="20"/>
      <c r="C502" s="20"/>
    </row>
    <row r="503" spans="1:4" ht="13.8" x14ac:dyDescent="0.25">
      <c r="A503" s="18" t="s">
        <v>15</v>
      </c>
      <c r="B503" s="17"/>
      <c r="C503" s="19"/>
      <c r="D503" s="1">
        <f>+D482+1</f>
        <v>24</v>
      </c>
    </row>
    <row r="504" spans="1:4" ht="13.8" x14ac:dyDescent="0.25">
      <c r="A504" s="16" t="s">
        <v>14</v>
      </c>
      <c r="B504" s="15"/>
      <c r="C504" s="19"/>
    </row>
    <row r="505" spans="1:4" ht="13.8" x14ac:dyDescent="0.25">
      <c r="A505" s="14" t="s">
        <v>13</v>
      </c>
      <c r="B505" s="13"/>
      <c r="C505" s="19"/>
    </row>
    <row r="506" spans="1:4" x14ac:dyDescent="0.25">
      <c r="A506" s="6"/>
      <c r="B506" s="5"/>
      <c r="C506" s="19"/>
    </row>
    <row r="507" spans="1:4" x14ac:dyDescent="0.25">
      <c r="A507" s="12" t="s">
        <v>12</v>
      </c>
      <c r="B507" s="11" t="str">
        <f>+'[1]FORM XIII'!$F$6</f>
        <v>SORYE CONTRUCTION</v>
      </c>
      <c r="C507" s="19"/>
    </row>
    <row r="508" spans="1:4" x14ac:dyDescent="0.25">
      <c r="A508" s="7" t="s">
        <v>11</v>
      </c>
      <c r="B508" s="7" t="str">
        <f>VLOOKUP(D503,'[1] Wages Sheet FORM XVII'!A$11:U586,3,0)</f>
        <v>VIRENDRA</v>
      </c>
      <c r="C508" s="19"/>
    </row>
    <row r="509" spans="1:4" x14ac:dyDescent="0.25">
      <c r="A509" s="7" t="s">
        <v>10</v>
      </c>
      <c r="B509" s="10" t="s">
        <v>9</v>
      </c>
      <c r="C509" s="19"/>
    </row>
    <row r="510" spans="1:4" x14ac:dyDescent="0.25">
      <c r="A510" s="7" t="s">
        <v>8</v>
      </c>
      <c r="B510" s="9">
        <f>+B489</f>
        <v>45992</v>
      </c>
      <c r="C510" s="19"/>
    </row>
    <row r="511" spans="1:4" x14ac:dyDescent="0.25">
      <c r="A511" s="7" t="s">
        <v>7</v>
      </c>
      <c r="B511" s="8">
        <f>VLOOKUP(D503,'[1] Wages Sheet FORM XVII'!A$11:U586,11,0)</f>
        <v>24</v>
      </c>
      <c r="C511" s="19"/>
    </row>
    <row r="512" spans="1:4" x14ac:dyDescent="0.25">
      <c r="A512" s="7" t="s">
        <v>6</v>
      </c>
      <c r="B512" s="7">
        <v>0</v>
      </c>
      <c r="C512" s="19"/>
    </row>
    <row r="513" spans="1:4" x14ac:dyDescent="0.25">
      <c r="A513" s="7" t="s">
        <v>5</v>
      </c>
      <c r="B513" s="7">
        <f>VLOOKUP(D503,'[1] Wages Sheet FORM XVII'!A$11:U586,12,0)</f>
        <v>480.77</v>
      </c>
      <c r="C513" s="19"/>
    </row>
    <row r="514" spans="1:4" x14ac:dyDescent="0.25">
      <c r="A514" s="7" t="s">
        <v>4</v>
      </c>
      <c r="B514" s="7">
        <f>VLOOKUP(D503,'[1] Wages Sheet FORM XVII'!A$11:U$34,15,0)</f>
        <v>2224</v>
      </c>
      <c r="C514" s="19"/>
    </row>
    <row r="515" spans="1:4" x14ac:dyDescent="0.25">
      <c r="A515" s="7" t="s">
        <v>3</v>
      </c>
      <c r="B515" s="8">
        <f>VLOOKUP(D503,'[1] Wages Sheet FORM XVII'!A$11:U586,17,0)</f>
        <v>1385</v>
      </c>
      <c r="C515" s="19"/>
    </row>
    <row r="516" spans="1:4" x14ac:dyDescent="0.25">
      <c r="A516" s="7" t="s">
        <v>2</v>
      </c>
      <c r="B516" s="8">
        <f>VLOOKUP(D503,'[1] Wages Sheet FORM XVII'!A$11:U586,20,0)</f>
        <v>1788</v>
      </c>
      <c r="C516" s="19"/>
    </row>
    <row r="517" spans="1:4" x14ac:dyDescent="0.25">
      <c r="A517" s="7" t="s">
        <v>1</v>
      </c>
      <c r="B517" s="8">
        <f>VLOOKUP(D503,'[1] Wages Sheet FORM XVII'!A$11:U586,21,0)</f>
        <v>11974.48</v>
      </c>
      <c r="C517" s="19"/>
    </row>
    <row r="518" spans="1:4" x14ac:dyDescent="0.25">
      <c r="A518" s="7"/>
      <c r="B518" s="7"/>
      <c r="C518" s="19"/>
    </row>
    <row r="519" spans="1:4" x14ac:dyDescent="0.25">
      <c r="A519" s="6"/>
      <c r="B519" s="5" t="s">
        <v>0</v>
      </c>
      <c r="C519" s="19"/>
    </row>
    <row r="520" spans="1:4" x14ac:dyDescent="0.25">
      <c r="A520" s="4"/>
      <c r="B520" s="3"/>
      <c r="C520" s="19"/>
    </row>
    <row r="521" spans="1:4" x14ac:dyDescent="0.25">
      <c r="C521" s="19"/>
    </row>
    <row r="524" spans="1:4" x14ac:dyDescent="0.25">
      <c r="A524" s="20"/>
      <c r="B524" s="20"/>
      <c r="C524" s="20"/>
    </row>
    <row r="525" spans="1:4" ht="13.8" x14ac:dyDescent="0.25">
      <c r="A525" s="18" t="s">
        <v>15</v>
      </c>
      <c r="B525" s="17"/>
      <c r="C525" s="19"/>
      <c r="D525" s="1">
        <f>+D503+1</f>
        <v>25</v>
      </c>
    </row>
    <row r="526" spans="1:4" ht="13.8" x14ac:dyDescent="0.25">
      <c r="A526" s="16" t="s">
        <v>14</v>
      </c>
      <c r="B526" s="15"/>
      <c r="C526" s="19"/>
    </row>
    <row r="527" spans="1:4" ht="13.8" x14ac:dyDescent="0.25">
      <c r="A527" s="14" t="s">
        <v>13</v>
      </c>
      <c r="B527" s="13"/>
      <c r="C527" s="19"/>
    </row>
    <row r="528" spans="1:4" x14ac:dyDescent="0.25">
      <c r="A528" s="6"/>
      <c r="B528" s="5"/>
      <c r="C528" s="19"/>
    </row>
    <row r="529" spans="1:3" x14ac:dyDescent="0.25">
      <c r="A529" s="12" t="s">
        <v>12</v>
      </c>
      <c r="B529" s="11" t="str">
        <f>+'[1]FORM XIII'!$F$6</f>
        <v>SORYE CONTRUCTION</v>
      </c>
      <c r="C529" s="19"/>
    </row>
    <row r="530" spans="1:3" x14ac:dyDescent="0.25">
      <c r="A530" s="7" t="s">
        <v>11</v>
      </c>
      <c r="B530" s="7" t="str">
        <f>VLOOKUP(D525,'[1] Wages Sheet FORM XVII'!A$11:U608,3,0)</f>
        <v>ANKIT NAUTIYAL</v>
      </c>
      <c r="C530" s="19"/>
    </row>
    <row r="531" spans="1:3" x14ac:dyDescent="0.25">
      <c r="A531" s="7" t="s">
        <v>10</v>
      </c>
      <c r="B531" s="10" t="s">
        <v>9</v>
      </c>
      <c r="C531" s="19"/>
    </row>
    <row r="532" spans="1:3" x14ac:dyDescent="0.25">
      <c r="A532" s="7" t="s">
        <v>8</v>
      </c>
      <c r="B532" s="9">
        <f>+B510</f>
        <v>45992</v>
      </c>
      <c r="C532" s="19"/>
    </row>
    <row r="533" spans="1:3" x14ac:dyDescent="0.25">
      <c r="A533" s="7" t="s">
        <v>7</v>
      </c>
      <c r="B533" s="8">
        <f>VLOOKUP(D525,'[1] Wages Sheet FORM XVII'!A$11:U608,11,0)</f>
        <v>14</v>
      </c>
      <c r="C533" s="19"/>
    </row>
    <row r="534" spans="1:3" x14ac:dyDescent="0.25">
      <c r="A534" s="7" t="s">
        <v>6</v>
      </c>
      <c r="B534" s="7">
        <v>0</v>
      </c>
      <c r="C534" s="19"/>
    </row>
    <row r="535" spans="1:3" x14ac:dyDescent="0.25">
      <c r="A535" s="7" t="s">
        <v>5</v>
      </c>
      <c r="B535" s="7">
        <f>VLOOKUP(D525,'[1] Wages Sheet FORM XVII'!A$11:U608,12,0)</f>
        <v>480.77</v>
      </c>
      <c r="C535" s="19"/>
    </row>
    <row r="536" spans="1:3" x14ac:dyDescent="0.25">
      <c r="A536" s="7" t="s">
        <v>4</v>
      </c>
      <c r="B536" s="7" t="e">
        <f>VLOOKUP(D525,'[1] Wages Sheet FORM XVII'!A$11:U$34,15,0)</f>
        <v>#N/A</v>
      </c>
      <c r="C536" s="19"/>
    </row>
    <row r="537" spans="1:3" x14ac:dyDescent="0.25">
      <c r="A537" s="7" t="s">
        <v>3</v>
      </c>
      <c r="B537" s="8">
        <f>VLOOKUP(D525,'[1] Wages Sheet FORM XVII'!A$11:U608,17,0)</f>
        <v>808</v>
      </c>
      <c r="C537" s="19"/>
    </row>
    <row r="538" spans="1:3" x14ac:dyDescent="0.25">
      <c r="A538" s="7" t="s">
        <v>2</v>
      </c>
      <c r="B538" s="8">
        <f>VLOOKUP(D525,'[1] Wages Sheet FORM XVII'!A$11:U608,20,0)</f>
        <v>858</v>
      </c>
      <c r="C538" s="19"/>
    </row>
    <row r="539" spans="1:3" x14ac:dyDescent="0.25">
      <c r="A539" s="7" t="s">
        <v>1</v>
      </c>
      <c r="B539" s="8">
        <f>VLOOKUP(D525,'[1] Wages Sheet FORM XVII'!A$11:U608,21,0)</f>
        <v>5872.78</v>
      </c>
      <c r="C539" s="19"/>
    </row>
    <row r="540" spans="1:3" x14ac:dyDescent="0.25">
      <c r="A540" s="7"/>
      <c r="B540" s="7"/>
      <c r="C540" s="19"/>
    </row>
    <row r="541" spans="1:3" x14ac:dyDescent="0.25">
      <c r="A541" s="6"/>
      <c r="B541" s="5" t="s">
        <v>0</v>
      </c>
      <c r="C541" s="19"/>
    </row>
    <row r="542" spans="1:3" x14ac:dyDescent="0.25">
      <c r="A542" s="4"/>
      <c r="B542" s="3"/>
      <c r="C542" s="19"/>
    </row>
    <row r="543" spans="1:3" x14ac:dyDescent="0.25">
      <c r="C543" s="19"/>
    </row>
    <row r="545" spans="1:4" x14ac:dyDescent="0.25">
      <c r="A545" s="20"/>
      <c r="B545" s="20"/>
      <c r="C545" s="20"/>
    </row>
    <row r="546" spans="1:4" ht="13.8" x14ac:dyDescent="0.25">
      <c r="A546" s="18" t="s">
        <v>15</v>
      </c>
      <c r="B546" s="17"/>
      <c r="C546" s="19"/>
      <c r="D546" s="1">
        <f>+D525+1</f>
        <v>26</v>
      </c>
    </row>
    <row r="547" spans="1:4" ht="13.8" x14ac:dyDescent="0.25">
      <c r="A547" s="16" t="s">
        <v>14</v>
      </c>
      <c r="B547" s="15"/>
      <c r="C547" s="19"/>
    </row>
    <row r="548" spans="1:4" ht="13.8" x14ac:dyDescent="0.25">
      <c r="A548" s="14" t="s">
        <v>13</v>
      </c>
      <c r="B548" s="13"/>
      <c r="C548" s="19"/>
    </row>
    <row r="549" spans="1:4" x14ac:dyDescent="0.25">
      <c r="A549" s="6"/>
      <c r="B549" s="5"/>
      <c r="C549" s="19"/>
    </row>
    <row r="550" spans="1:4" x14ac:dyDescent="0.25">
      <c r="A550" s="12" t="s">
        <v>12</v>
      </c>
      <c r="B550" s="11" t="str">
        <f>+'[1]FORM XIII'!$F$6</f>
        <v>SORYE CONTRUCTION</v>
      </c>
      <c r="C550" s="19"/>
    </row>
    <row r="551" spans="1:4" x14ac:dyDescent="0.25">
      <c r="A551" s="7" t="s">
        <v>11</v>
      </c>
      <c r="B551" s="7" t="str">
        <f>VLOOKUP(D546,'[1] Wages Sheet FORM XVII'!A$11:U629,3,0)</f>
        <v>SACHIN KUMAR</v>
      </c>
      <c r="C551" s="19"/>
    </row>
    <row r="552" spans="1:4" x14ac:dyDescent="0.25">
      <c r="A552" s="7" t="s">
        <v>10</v>
      </c>
      <c r="B552" s="10" t="s">
        <v>9</v>
      </c>
      <c r="C552" s="19"/>
    </row>
    <row r="553" spans="1:4" x14ac:dyDescent="0.25">
      <c r="A553" s="7" t="s">
        <v>8</v>
      </c>
      <c r="B553" s="9">
        <f>+B532</f>
        <v>45992</v>
      </c>
      <c r="C553" s="19"/>
    </row>
    <row r="554" spans="1:4" x14ac:dyDescent="0.25">
      <c r="A554" s="7" t="s">
        <v>7</v>
      </c>
      <c r="B554" s="8">
        <f>VLOOKUP(D546,'[1] Wages Sheet FORM XVII'!A$11:U629,11,0)</f>
        <v>24</v>
      </c>
      <c r="C554" s="19"/>
    </row>
    <row r="555" spans="1:4" x14ac:dyDescent="0.25">
      <c r="A555" s="7" t="s">
        <v>6</v>
      </c>
      <c r="B555" s="7">
        <v>0</v>
      </c>
      <c r="C555" s="19"/>
    </row>
    <row r="556" spans="1:4" x14ac:dyDescent="0.25">
      <c r="A556" s="7" t="s">
        <v>5</v>
      </c>
      <c r="B556" s="7">
        <f>VLOOKUP(D546,'[1] Wages Sheet FORM XVII'!A$11:U629,12,0)</f>
        <v>480.77</v>
      </c>
      <c r="C556" s="19"/>
    </row>
    <row r="557" spans="1:4" x14ac:dyDescent="0.25">
      <c r="A557" s="7" t="s">
        <v>4</v>
      </c>
      <c r="B557" s="7" t="e">
        <f>VLOOKUP(D546,'[1] Wages Sheet FORM XVII'!A$11:U$34,15,0)</f>
        <v>#N/A</v>
      </c>
      <c r="C557" s="19"/>
    </row>
    <row r="558" spans="1:4" x14ac:dyDescent="0.25">
      <c r="A558" s="7" t="s">
        <v>3</v>
      </c>
      <c r="B558" s="8">
        <f>VLOOKUP(D546,'[1] Wages Sheet FORM XVII'!A$11:U629,17,0)</f>
        <v>1385</v>
      </c>
      <c r="C558" s="19"/>
    </row>
    <row r="559" spans="1:4" x14ac:dyDescent="0.25">
      <c r="A559" s="7" t="s">
        <v>2</v>
      </c>
      <c r="B559" s="8">
        <f>VLOOKUP(D546,'[1] Wages Sheet FORM XVII'!A$11:U629,20,0)</f>
        <v>1484</v>
      </c>
      <c r="C559" s="19"/>
    </row>
    <row r="560" spans="1:4" x14ac:dyDescent="0.25">
      <c r="A560" s="7" t="s">
        <v>1</v>
      </c>
      <c r="B560" s="8">
        <f>VLOOKUP(D546,'[1] Wages Sheet FORM XVII'!A$11:U629,21,0)</f>
        <v>11737.48</v>
      </c>
      <c r="C560" s="19"/>
    </row>
    <row r="561" spans="1:4" x14ac:dyDescent="0.25">
      <c r="A561" s="7"/>
      <c r="B561" s="7"/>
      <c r="C561" s="19"/>
    </row>
    <row r="562" spans="1:4" x14ac:dyDescent="0.25">
      <c r="A562" s="6"/>
      <c r="B562" s="5" t="s">
        <v>0</v>
      </c>
      <c r="C562" s="19"/>
    </row>
    <row r="563" spans="1:4" x14ac:dyDescent="0.25">
      <c r="A563" s="4"/>
      <c r="B563" s="3"/>
      <c r="C563" s="19"/>
    </row>
    <row r="564" spans="1:4" x14ac:dyDescent="0.25">
      <c r="C564" s="19"/>
    </row>
    <row r="567" spans="1:4" x14ac:dyDescent="0.25">
      <c r="A567" s="20"/>
      <c r="B567" s="20"/>
      <c r="C567" s="20"/>
    </row>
    <row r="568" spans="1:4" ht="13.8" x14ac:dyDescent="0.25">
      <c r="A568" s="18" t="s">
        <v>15</v>
      </c>
      <c r="B568" s="17"/>
      <c r="C568" s="19"/>
      <c r="D568" s="1">
        <f>+D546+1</f>
        <v>27</v>
      </c>
    </row>
    <row r="569" spans="1:4" ht="13.8" x14ac:dyDescent="0.25">
      <c r="A569" s="16" t="s">
        <v>14</v>
      </c>
      <c r="B569" s="15"/>
      <c r="C569" s="19"/>
    </row>
    <row r="570" spans="1:4" ht="13.8" x14ac:dyDescent="0.25">
      <c r="A570" s="14" t="s">
        <v>13</v>
      </c>
      <c r="B570" s="13"/>
      <c r="C570" s="19"/>
    </row>
    <row r="571" spans="1:4" x14ac:dyDescent="0.25">
      <c r="A571" s="6"/>
      <c r="B571" s="5"/>
      <c r="C571" s="19"/>
    </row>
    <row r="572" spans="1:4" x14ac:dyDescent="0.25">
      <c r="A572" s="12" t="s">
        <v>12</v>
      </c>
      <c r="B572" s="11" t="str">
        <f>+'[1]FORM XIII'!$F$6</f>
        <v>SORYE CONTRUCTION</v>
      </c>
      <c r="C572" s="19"/>
    </row>
    <row r="573" spans="1:4" x14ac:dyDescent="0.25">
      <c r="A573" s="7" t="s">
        <v>11</v>
      </c>
      <c r="B573" s="7" t="str">
        <f>VLOOKUP(D568,'[1] Wages Sheet FORM XVII'!A$11:U651,3,0)</f>
        <v>ANKIT</v>
      </c>
      <c r="C573" s="19"/>
    </row>
    <row r="574" spans="1:4" x14ac:dyDescent="0.25">
      <c r="A574" s="7" t="s">
        <v>10</v>
      </c>
      <c r="B574" s="10" t="s">
        <v>9</v>
      </c>
      <c r="C574" s="19"/>
    </row>
    <row r="575" spans="1:4" x14ac:dyDescent="0.25">
      <c r="A575" s="7" t="s">
        <v>8</v>
      </c>
      <c r="B575" s="9">
        <f>+B553</f>
        <v>45992</v>
      </c>
      <c r="C575" s="19"/>
    </row>
    <row r="576" spans="1:4" x14ac:dyDescent="0.25">
      <c r="A576" s="7" t="s">
        <v>7</v>
      </c>
      <c r="B576" s="8">
        <f>VLOOKUP(D568,'[1] Wages Sheet FORM XVII'!A$11:U651,11,0)</f>
        <v>25</v>
      </c>
      <c r="C576" s="19"/>
    </row>
    <row r="577" spans="1:4" x14ac:dyDescent="0.25">
      <c r="A577" s="7" t="s">
        <v>6</v>
      </c>
      <c r="B577" s="7">
        <v>0</v>
      </c>
      <c r="C577" s="19"/>
    </row>
    <row r="578" spans="1:4" x14ac:dyDescent="0.25">
      <c r="A578" s="7" t="s">
        <v>5</v>
      </c>
      <c r="B578" s="7">
        <f>VLOOKUP(D568,'[1] Wages Sheet FORM XVII'!A$11:U651,12,0)</f>
        <v>480.77</v>
      </c>
      <c r="C578" s="19"/>
    </row>
    <row r="579" spans="1:4" x14ac:dyDescent="0.25">
      <c r="A579" s="7" t="s">
        <v>4</v>
      </c>
      <c r="B579" s="7" t="e">
        <f>VLOOKUP(D568,'[1] Wages Sheet FORM XVII'!A$11:U$34,15,0)</f>
        <v>#N/A</v>
      </c>
      <c r="C579" s="19"/>
    </row>
    <row r="580" spans="1:4" x14ac:dyDescent="0.25">
      <c r="A580" s="7" t="s">
        <v>3</v>
      </c>
      <c r="B580" s="8">
        <f>VLOOKUP(D568,'[1] Wages Sheet FORM XVII'!A$11:U651,17,0)</f>
        <v>1442</v>
      </c>
      <c r="C580" s="19"/>
    </row>
    <row r="581" spans="1:4" x14ac:dyDescent="0.25">
      <c r="A581" s="7" t="s">
        <v>2</v>
      </c>
      <c r="B581" s="8">
        <f>VLOOKUP(D568,'[1] Wages Sheet FORM XVII'!A$11:U651,20,0)</f>
        <v>1632</v>
      </c>
      <c r="C581" s="19"/>
    </row>
    <row r="582" spans="1:4" x14ac:dyDescent="0.25">
      <c r="A582" s="7" t="s">
        <v>1</v>
      </c>
      <c r="B582" s="8">
        <f>VLOOKUP(D568,'[1] Wages Sheet FORM XVII'!A$11:U651,21,0)</f>
        <v>10387.25</v>
      </c>
      <c r="C582" s="19"/>
    </row>
    <row r="583" spans="1:4" x14ac:dyDescent="0.25">
      <c r="A583" s="7"/>
      <c r="B583" s="7"/>
      <c r="C583" s="19"/>
    </row>
    <row r="584" spans="1:4" x14ac:dyDescent="0.25">
      <c r="A584" s="6"/>
      <c r="B584" s="5" t="s">
        <v>0</v>
      </c>
      <c r="C584" s="19"/>
    </row>
    <row r="585" spans="1:4" x14ac:dyDescent="0.25">
      <c r="A585" s="4"/>
      <c r="B585" s="3"/>
      <c r="C585" s="19"/>
    </row>
    <row r="586" spans="1:4" x14ac:dyDescent="0.25">
      <c r="C586" s="19"/>
    </row>
    <row r="589" spans="1:4" x14ac:dyDescent="0.25">
      <c r="A589" s="20"/>
      <c r="B589" s="20"/>
      <c r="C589" s="20"/>
    </row>
    <row r="590" spans="1:4" ht="13.8" x14ac:dyDescent="0.25">
      <c r="A590" s="18" t="s">
        <v>15</v>
      </c>
      <c r="B590" s="17"/>
      <c r="C590" s="19"/>
      <c r="D590" s="1">
        <f>+D568+1</f>
        <v>28</v>
      </c>
    </row>
    <row r="591" spans="1:4" ht="13.8" x14ac:dyDescent="0.25">
      <c r="A591" s="16" t="s">
        <v>14</v>
      </c>
      <c r="B591" s="15"/>
      <c r="C591" s="19"/>
    </row>
    <row r="592" spans="1:4" ht="13.8" x14ac:dyDescent="0.25">
      <c r="A592" s="14" t="s">
        <v>13</v>
      </c>
      <c r="B592" s="13"/>
      <c r="C592" s="19"/>
    </row>
    <row r="593" spans="1:3" x14ac:dyDescent="0.25">
      <c r="A593" s="6"/>
      <c r="B593" s="5"/>
      <c r="C593" s="19"/>
    </row>
    <row r="594" spans="1:3" x14ac:dyDescent="0.25">
      <c r="A594" s="12" t="s">
        <v>12</v>
      </c>
      <c r="B594" s="11" t="str">
        <f>+'[1]FORM XIII'!$F$6</f>
        <v>SORYE CONTRUCTION</v>
      </c>
      <c r="C594" s="19"/>
    </row>
    <row r="595" spans="1:3" x14ac:dyDescent="0.25">
      <c r="A595" s="7" t="s">
        <v>11</v>
      </c>
      <c r="B595" s="7" t="str">
        <f>VLOOKUP(D590,'[1] Wages Sheet FORM XVII'!A$11:U673,3,0)</f>
        <v>HARUN</v>
      </c>
      <c r="C595" s="19"/>
    </row>
    <row r="596" spans="1:3" x14ac:dyDescent="0.25">
      <c r="A596" s="7" t="s">
        <v>10</v>
      </c>
      <c r="B596" s="10" t="s">
        <v>9</v>
      </c>
      <c r="C596" s="19"/>
    </row>
    <row r="597" spans="1:3" x14ac:dyDescent="0.25">
      <c r="A597" s="7" t="s">
        <v>8</v>
      </c>
      <c r="B597" s="9">
        <f>+B575</f>
        <v>45992</v>
      </c>
      <c r="C597" s="19"/>
    </row>
    <row r="598" spans="1:3" x14ac:dyDescent="0.25">
      <c r="A598" s="7" t="s">
        <v>7</v>
      </c>
      <c r="B598" s="8">
        <f>VLOOKUP(D590,'[1] Wages Sheet FORM XVII'!A$11:U673,11,0)</f>
        <v>13</v>
      </c>
      <c r="C598" s="19"/>
    </row>
    <row r="599" spans="1:3" x14ac:dyDescent="0.25">
      <c r="A599" s="7" t="s">
        <v>6</v>
      </c>
      <c r="B599" s="7">
        <v>0</v>
      </c>
      <c r="C599" s="19"/>
    </row>
    <row r="600" spans="1:3" x14ac:dyDescent="0.25">
      <c r="A600" s="7" t="s">
        <v>5</v>
      </c>
      <c r="B600" s="7">
        <f>VLOOKUP(D590,'[1] Wages Sheet FORM XVII'!A$11:U673,12,0)</f>
        <v>480.77</v>
      </c>
      <c r="C600" s="19"/>
    </row>
    <row r="601" spans="1:3" x14ac:dyDescent="0.25">
      <c r="A601" s="7" t="s">
        <v>4</v>
      </c>
      <c r="B601" s="7" t="e">
        <f>VLOOKUP(D590,'[1] Wages Sheet FORM XVII'!A$11:U$34,15,0)</f>
        <v>#N/A</v>
      </c>
      <c r="C601" s="19"/>
    </row>
    <row r="602" spans="1:3" x14ac:dyDescent="0.25">
      <c r="A602" s="7" t="s">
        <v>3</v>
      </c>
      <c r="B602" s="8">
        <f>VLOOKUP(D590,'[1] Wages Sheet FORM XVII'!A$11:U673,17,0)</f>
        <v>750</v>
      </c>
      <c r="C602" s="19"/>
    </row>
    <row r="603" spans="1:3" x14ac:dyDescent="0.25">
      <c r="A603" s="7" t="s">
        <v>2</v>
      </c>
      <c r="B603" s="8">
        <f>VLOOKUP(D590,'[1] Wages Sheet FORM XVII'!A$11:U673,20,0)</f>
        <v>1097</v>
      </c>
      <c r="C603" s="19"/>
    </row>
    <row r="604" spans="1:3" x14ac:dyDescent="0.25">
      <c r="A604" s="7" t="s">
        <v>1</v>
      </c>
      <c r="B604" s="8">
        <f>VLOOKUP(D590,'[1] Wages Sheet FORM XVII'!A$11:U673,21,0)</f>
        <v>5213.01</v>
      </c>
      <c r="C604" s="19"/>
    </row>
    <row r="605" spans="1:3" x14ac:dyDescent="0.25">
      <c r="A605" s="7"/>
      <c r="B605" s="7"/>
      <c r="C605" s="19"/>
    </row>
    <row r="606" spans="1:3" x14ac:dyDescent="0.25">
      <c r="A606" s="6"/>
      <c r="B606" s="5" t="s">
        <v>0</v>
      </c>
      <c r="C606" s="19"/>
    </row>
    <row r="607" spans="1:3" x14ac:dyDescent="0.25">
      <c r="A607" s="4"/>
      <c r="B607" s="3"/>
      <c r="C607" s="19"/>
    </row>
    <row r="608" spans="1:3" x14ac:dyDescent="0.25">
      <c r="C608" s="19"/>
    </row>
    <row r="612" spans="1:4" x14ac:dyDescent="0.25">
      <c r="A612" s="20"/>
      <c r="B612" s="20"/>
      <c r="C612" s="20"/>
    </row>
    <row r="613" spans="1:4" ht="13.8" x14ac:dyDescent="0.25">
      <c r="A613" s="18" t="s">
        <v>15</v>
      </c>
      <c r="B613" s="17"/>
      <c r="C613" s="19"/>
      <c r="D613" s="1">
        <f>+D590+1</f>
        <v>29</v>
      </c>
    </row>
    <row r="614" spans="1:4" ht="13.8" x14ac:dyDescent="0.25">
      <c r="A614" s="16" t="s">
        <v>14</v>
      </c>
      <c r="B614" s="15"/>
      <c r="C614" s="19"/>
    </row>
    <row r="615" spans="1:4" ht="13.8" x14ac:dyDescent="0.25">
      <c r="A615" s="14" t="s">
        <v>13</v>
      </c>
      <c r="B615" s="13"/>
      <c r="C615" s="19"/>
    </row>
    <row r="616" spans="1:4" x14ac:dyDescent="0.25">
      <c r="A616" s="6"/>
      <c r="B616" s="5"/>
      <c r="C616" s="19"/>
    </row>
    <row r="617" spans="1:4" x14ac:dyDescent="0.25">
      <c r="A617" s="12" t="s">
        <v>12</v>
      </c>
      <c r="B617" s="11" t="str">
        <f>+'[1]FORM XIII'!$F$6</f>
        <v>SORYE CONTRUCTION</v>
      </c>
      <c r="C617" s="19"/>
    </row>
    <row r="618" spans="1:4" x14ac:dyDescent="0.25">
      <c r="A618" s="7" t="s">
        <v>11</v>
      </c>
      <c r="B618" s="7" t="str">
        <f>VLOOKUP(D613,'[1] Wages Sheet FORM XVII'!A$11:U696,3,0)</f>
        <v>ASS.MOHOMMED</v>
      </c>
      <c r="C618" s="19"/>
    </row>
    <row r="619" spans="1:4" x14ac:dyDescent="0.25">
      <c r="A619" s="7" t="s">
        <v>10</v>
      </c>
      <c r="B619" s="10" t="s">
        <v>9</v>
      </c>
      <c r="C619" s="19"/>
    </row>
    <row r="620" spans="1:4" x14ac:dyDescent="0.25">
      <c r="A620" s="7" t="s">
        <v>8</v>
      </c>
      <c r="B620" s="9">
        <f>+B597</f>
        <v>45992</v>
      </c>
      <c r="C620" s="19"/>
    </row>
    <row r="621" spans="1:4" x14ac:dyDescent="0.25">
      <c r="A621" s="7" t="s">
        <v>7</v>
      </c>
      <c r="B621" s="8">
        <f>VLOOKUP(D613,'[1] Wages Sheet FORM XVII'!A$11:U696,11,0)</f>
        <v>20</v>
      </c>
      <c r="C621" s="19"/>
    </row>
    <row r="622" spans="1:4" x14ac:dyDescent="0.25">
      <c r="A622" s="7" t="s">
        <v>6</v>
      </c>
      <c r="B622" s="7">
        <v>0</v>
      </c>
      <c r="C622" s="19"/>
    </row>
    <row r="623" spans="1:4" x14ac:dyDescent="0.25">
      <c r="A623" s="7" t="s">
        <v>5</v>
      </c>
      <c r="B623" s="7">
        <f>VLOOKUP(D613,'[1] Wages Sheet FORM XVII'!A$11:U696,12,0)</f>
        <v>480.77</v>
      </c>
      <c r="C623" s="19"/>
    </row>
    <row r="624" spans="1:4" x14ac:dyDescent="0.25">
      <c r="A624" s="7" t="s">
        <v>4</v>
      </c>
      <c r="B624" s="7" t="e">
        <f>VLOOKUP(D613,'[1] Wages Sheet FORM XVII'!A$11:U$34,15,0)</f>
        <v>#N/A</v>
      </c>
      <c r="C624" s="19"/>
    </row>
    <row r="625" spans="1:4" x14ac:dyDescent="0.25">
      <c r="A625" s="7" t="s">
        <v>3</v>
      </c>
      <c r="B625" s="8">
        <f>VLOOKUP(D613,'[1] Wages Sheet FORM XVII'!A$11:U696,17,0)</f>
        <v>1154</v>
      </c>
      <c r="C625" s="19"/>
    </row>
    <row r="626" spans="1:4" x14ac:dyDescent="0.25">
      <c r="A626" s="7" t="s">
        <v>2</v>
      </c>
      <c r="B626" s="8">
        <f>VLOOKUP(D613,'[1] Wages Sheet FORM XVII'!A$11:U696,20,0)</f>
        <v>1727</v>
      </c>
      <c r="C626" s="19"/>
    </row>
    <row r="627" spans="1:4" x14ac:dyDescent="0.25">
      <c r="A627" s="7" t="s">
        <v>1</v>
      </c>
      <c r="B627" s="8">
        <f>VLOOKUP(D613,'[1] Wages Sheet FORM XVII'!A$11:U696,21,0)</f>
        <v>8068.4</v>
      </c>
      <c r="C627" s="19"/>
    </row>
    <row r="628" spans="1:4" x14ac:dyDescent="0.25">
      <c r="A628" s="7"/>
      <c r="B628" s="7"/>
      <c r="C628" s="19"/>
    </row>
    <row r="629" spans="1:4" x14ac:dyDescent="0.25">
      <c r="A629" s="6"/>
      <c r="B629" s="5" t="s">
        <v>0</v>
      </c>
      <c r="C629" s="19"/>
    </row>
    <row r="630" spans="1:4" x14ac:dyDescent="0.25">
      <c r="A630" s="4"/>
      <c r="B630" s="3"/>
      <c r="C630" s="19"/>
    </row>
    <row r="631" spans="1:4" x14ac:dyDescent="0.25">
      <c r="C631" s="19"/>
    </row>
    <row r="634" spans="1:4" x14ac:dyDescent="0.25">
      <c r="A634" s="20"/>
      <c r="B634" s="20"/>
      <c r="C634" s="20"/>
    </row>
    <row r="635" spans="1:4" ht="13.8" x14ac:dyDescent="0.25">
      <c r="A635" s="18" t="s">
        <v>15</v>
      </c>
      <c r="B635" s="17"/>
      <c r="C635" s="19"/>
      <c r="D635" s="1">
        <f>+D613+1</f>
        <v>30</v>
      </c>
    </row>
    <row r="636" spans="1:4" ht="13.8" x14ac:dyDescent="0.25">
      <c r="A636" s="16" t="s">
        <v>14</v>
      </c>
      <c r="B636" s="15"/>
      <c r="C636" s="19"/>
    </row>
    <row r="637" spans="1:4" ht="13.8" x14ac:dyDescent="0.25">
      <c r="A637" s="14" t="s">
        <v>13</v>
      </c>
      <c r="B637" s="13"/>
      <c r="C637" s="19"/>
    </row>
    <row r="638" spans="1:4" x14ac:dyDescent="0.25">
      <c r="A638" s="6"/>
      <c r="B638" s="5"/>
      <c r="C638" s="19"/>
    </row>
    <row r="639" spans="1:4" x14ac:dyDescent="0.25">
      <c r="A639" s="12" t="s">
        <v>12</v>
      </c>
      <c r="B639" s="11" t="str">
        <f>+'[1]FORM XIII'!$F$6</f>
        <v>SORYE CONTRUCTION</v>
      </c>
      <c r="C639" s="19"/>
    </row>
    <row r="640" spans="1:4" x14ac:dyDescent="0.25">
      <c r="A640" s="7" t="s">
        <v>11</v>
      </c>
      <c r="B640" s="7" t="str">
        <f>VLOOKUP(D635,'[1] Wages Sheet FORM XVII'!A$11:U718,3,0)</f>
        <v>RAJENDRA KUMAR</v>
      </c>
      <c r="C640" s="19"/>
    </row>
    <row r="641" spans="1:3" x14ac:dyDescent="0.25">
      <c r="A641" s="7" t="s">
        <v>10</v>
      </c>
      <c r="B641" s="10" t="s">
        <v>9</v>
      </c>
      <c r="C641" s="19"/>
    </row>
    <row r="642" spans="1:3" x14ac:dyDescent="0.25">
      <c r="A642" s="7" t="s">
        <v>8</v>
      </c>
      <c r="B642" s="9">
        <f>+B620</f>
        <v>45992</v>
      </c>
      <c r="C642" s="19"/>
    </row>
    <row r="643" spans="1:3" x14ac:dyDescent="0.25">
      <c r="A643" s="7" t="s">
        <v>7</v>
      </c>
      <c r="B643" s="8">
        <f>VLOOKUP(D635,'[1] Wages Sheet FORM XVII'!A$11:U718,11,0)</f>
        <v>15</v>
      </c>
      <c r="C643" s="19"/>
    </row>
    <row r="644" spans="1:3" x14ac:dyDescent="0.25">
      <c r="A644" s="7" t="s">
        <v>6</v>
      </c>
      <c r="B644" s="7">
        <v>0</v>
      </c>
      <c r="C644" s="19"/>
    </row>
    <row r="645" spans="1:3" x14ac:dyDescent="0.25">
      <c r="A645" s="7" t="s">
        <v>5</v>
      </c>
      <c r="B645" s="7">
        <f>VLOOKUP(D635,'[1] Wages Sheet FORM XVII'!A$11:U718,12,0)</f>
        <v>480.77</v>
      </c>
      <c r="C645" s="19"/>
    </row>
    <row r="646" spans="1:3" x14ac:dyDescent="0.25">
      <c r="A646" s="7" t="s">
        <v>4</v>
      </c>
      <c r="B646" s="7" t="e">
        <f>VLOOKUP(D635,'[1] Wages Sheet FORM XVII'!A$11:U$34,15,0)</f>
        <v>#N/A</v>
      </c>
      <c r="C646" s="19"/>
    </row>
    <row r="647" spans="1:3" x14ac:dyDescent="0.25">
      <c r="A647" s="7" t="s">
        <v>3</v>
      </c>
      <c r="B647" s="8">
        <f>VLOOKUP(D635,'[1] Wages Sheet FORM XVII'!A$11:U718,17,0)</f>
        <v>865</v>
      </c>
      <c r="C647" s="19"/>
    </row>
    <row r="648" spans="1:3" x14ac:dyDescent="0.25">
      <c r="A648" s="7" t="s">
        <v>2</v>
      </c>
      <c r="B648" s="8">
        <f>VLOOKUP(D635,'[1] Wages Sheet FORM XVII'!A$11:U718,20,0)</f>
        <v>919</v>
      </c>
      <c r="C648" s="19"/>
    </row>
    <row r="649" spans="1:3" x14ac:dyDescent="0.25">
      <c r="A649" s="7" t="s">
        <v>1</v>
      </c>
      <c r="B649" s="8">
        <f>VLOOKUP(D635,'[1] Wages Sheet FORM XVII'!A$11:U718,21,0)</f>
        <v>6292.5499999999993</v>
      </c>
      <c r="C649" s="19"/>
    </row>
    <row r="650" spans="1:3" x14ac:dyDescent="0.25">
      <c r="A650" s="7"/>
      <c r="B650" s="7"/>
      <c r="C650" s="19"/>
    </row>
    <row r="651" spans="1:3" x14ac:dyDescent="0.25">
      <c r="A651" s="6"/>
      <c r="B651" s="5" t="s">
        <v>0</v>
      </c>
      <c r="C651" s="19"/>
    </row>
    <row r="652" spans="1:3" x14ac:dyDescent="0.25">
      <c r="A652" s="4"/>
      <c r="B652" s="3"/>
      <c r="C652" s="19"/>
    </row>
    <row r="653" spans="1:3" x14ac:dyDescent="0.25">
      <c r="C653" s="19"/>
    </row>
    <row r="656" spans="1:3" x14ac:dyDescent="0.25">
      <c r="A656" s="20"/>
      <c r="B656" s="20"/>
      <c r="C656" s="20"/>
    </row>
    <row r="657" spans="1:4" ht="13.8" x14ac:dyDescent="0.25">
      <c r="A657" s="18" t="s">
        <v>15</v>
      </c>
      <c r="B657" s="17"/>
      <c r="C657" s="19"/>
      <c r="D657" s="1">
        <f>+D635+1</f>
        <v>31</v>
      </c>
    </row>
    <row r="658" spans="1:4" ht="13.8" x14ac:dyDescent="0.25">
      <c r="A658" s="16" t="s">
        <v>14</v>
      </c>
      <c r="B658" s="15"/>
      <c r="C658" s="19"/>
    </row>
    <row r="659" spans="1:4" ht="13.8" x14ac:dyDescent="0.25">
      <c r="A659" s="14" t="s">
        <v>13</v>
      </c>
      <c r="B659" s="13"/>
      <c r="C659" s="19"/>
    </row>
    <row r="660" spans="1:4" x14ac:dyDescent="0.25">
      <c r="A660" s="6"/>
      <c r="B660" s="5"/>
      <c r="C660" s="19"/>
    </row>
    <row r="661" spans="1:4" x14ac:dyDescent="0.25">
      <c r="A661" s="12" t="s">
        <v>12</v>
      </c>
      <c r="B661" s="11" t="str">
        <f>+'[1]FORM XIII'!$F$6</f>
        <v>SORYE CONTRUCTION</v>
      </c>
      <c r="C661" s="19"/>
    </row>
    <row r="662" spans="1:4" x14ac:dyDescent="0.25">
      <c r="A662" s="7" t="s">
        <v>11</v>
      </c>
      <c r="B662" s="7" t="str">
        <f>VLOOKUP(D657,'[1] Wages Sheet FORM XVII'!A$11:U740,3,0)</f>
        <v>MUNNA</v>
      </c>
      <c r="C662" s="19"/>
    </row>
    <row r="663" spans="1:4" x14ac:dyDescent="0.25">
      <c r="A663" s="7" t="s">
        <v>10</v>
      </c>
      <c r="B663" s="10" t="s">
        <v>9</v>
      </c>
      <c r="C663" s="19"/>
    </row>
    <row r="664" spans="1:4" x14ac:dyDescent="0.25">
      <c r="A664" s="7" t="s">
        <v>8</v>
      </c>
      <c r="B664" s="9">
        <f>+B642</f>
        <v>45992</v>
      </c>
      <c r="C664" s="19"/>
    </row>
    <row r="665" spans="1:4" x14ac:dyDescent="0.25">
      <c r="A665" s="7" t="s">
        <v>7</v>
      </c>
      <c r="B665" s="8">
        <f>VLOOKUP(D657,'[1] Wages Sheet FORM XVII'!A$11:U740,11,0)</f>
        <v>14</v>
      </c>
      <c r="C665" s="19"/>
    </row>
    <row r="666" spans="1:4" x14ac:dyDescent="0.25">
      <c r="A666" s="7" t="s">
        <v>6</v>
      </c>
      <c r="B666" s="7">
        <v>0</v>
      </c>
      <c r="C666" s="19"/>
    </row>
    <row r="667" spans="1:4" x14ac:dyDescent="0.25">
      <c r="A667" s="7" t="s">
        <v>5</v>
      </c>
      <c r="B667" s="7">
        <f>VLOOKUP(D657,'[1] Wages Sheet FORM XVII'!A$11:U740,12,0)</f>
        <v>480.77</v>
      </c>
      <c r="C667" s="19"/>
    </row>
    <row r="668" spans="1:4" x14ac:dyDescent="0.25">
      <c r="A668" s="7" t="s">
        <v>4</v>
      </c>
      <c r="B668" s="7" t="e">
        <f>VLOOKUP(D657,'[1] Wages Sheet FORM XVII'!A$11:U$34,15,0)</f>
        <v>#N/A</v>
      </c>
      <c r="C668" s="19"/>
    </row>
    <row r="669" spans="1:4" x14ac:dyDescent="0.25">
      <c r="A669" s="7" t="s">
        <v>3</v>
      </c>
      <c r="B669" s="8">
        <f>VLOOKUP(D657,'[1] Wages Sheet FORM XVII'!A$11:U740,17,0)</f>
        <v>808</v>
      </c>
      <c r="C669" s="19"/>
    </row>
    <row r="670" spans="1:4" x14ac:dyDescent="0.25">
      <c r="A670" s="7" t="s">
        <v>2</v>
      </c>
      <c r="B670" s="8">
        <f>VLOOKUP(D657,'[1] Wages Sheet FORM XVII'!A$11:U740,20,0)</f>
        <v>1462</v>
      </c>
      <c r="C670" s="19"/>
    </row>
    <row r="671" spans="1:4" x14ac:dyDescent="0.25">
      <c r="A671" s="7" t="s">
        <v>1</v>
      </c>
      <c r="B671" s="8">
        <f>VLOOKUP(D657,'[1] Wages Sheet FORM XVII'!A$11:U740,21,0)</f>
        <v>5749.78</v>
      </c>
      <c r="C671" s="19"/>
    </row>
    <row r="672" spans="1:4" x14ac:dyDescent="0.25">
      <c r="A672" s="7"/>
      <c r="B672" s="7"/>
      <c r="C672" s="19"/>
    </row>
    <row r="673" spans="1:4" x14ac:dyDescent="0.25">
      <c r="A673" s="6"/>
      <c r="B673" s="5" t="s">
        <v>0</v>
      </c>
      <c r="C673" s="19"/>
    </row>
    <row r="674" spans="1:4" x14ac:dyDescent="0.25">
      <c r="A674" s="4"/>
      <c r="B674" s="3"/>
      <c r="C674" s="19"/>
    </row>
    <row r="675" spans="1:4" x14ac:dyDescent="0.25">
      <c r="C675" s="19"/>
    </row>
    <row r="678" spans="1:4" x14ac:dyDescent="0.25">
      <c r="A678" s="20"/>
      <c r="B678" s="20"/>
      <c r="C678" s="20"/>
    </row>
    <row r="679" spans="1:4" ht="13.8" x14ac:dyDescent="0.25">
      <c r="A679" s="18" t="s">
        <v>15</v>
      </c>
      <c r="B679" s="17"/>
      <c r="C679" s="19"/>
      <c r="D679" s="1">
        <f>+D657+1</f>
        <v>32</v>
      </c>
    </row>
    <row r="680" spans="1:4" ht="13.8" x14ac:dyDescent="0.25">
      <c r="A680" s="16" t="s">
        <v>14</v>
      </c>
      <c r="B680" s="15"/>
      <c r="C680" s="19"/>
    </row>
    <row r="681" spans="1:4" ht="13.8" x14ac:dyDescent="0.25">
      <c r="A681" s="14" t="s">
        <v>13</v>
      </c>
      <c r="B681" s="13"/>
      <c r="C681" s="19"/>
    </row>
    <row r="682" spans="1:4" x14ac:dyDescent="0.25">
      <c r="A682" s="6"/>
      <c r="B682" s="5"/>
      <c r="C682" s="19"/>
    </row>
    <row r="683" spans="1:4" x14ac:dyDescent="0.25">
      <c r="A683" s="12" t="s">
        <v>12</v>
      </c>
      <c r="B683" s="11" t="str">
        <f>+'[1]FORM XIII'!$F$6</f>
        <v>SORYE CONTRUCTION</v>
      </c>
      <c r="C683" s="19"/>
    </row>
    <row r="684" spans="1:4" x14ac:dyDescent="0.25">
      <c r="A684" s="7" t="s">
        <v>11</v>
      </c>
      <c r="B684" s="7" t="str">
        <f>VLOOKUP(D679,'[1] Wages Sheet FORM XVII'!A$11:U762,3,0)</f>
        <v>SONU KUMAR</v>
      </c>
      <c r="C684" s="19"/>
    </row>
    <row r="685" spans="1:4" x14ac:dyDescent="0.25">
      <c r="A685" s="7" t="s">
        <v>10</v>
      </c>
      <c r="B685" s="10" t="s">
        <v>9</v>
      </c>
      <c r="C685" s="19"/>
    </row>
    <row r="686" spans="1:4" x14ac:dyDescent="0.25">
      <c r="A686" s="7" t="s">
        <v>8</v>
      </c>
      <c r="B686" s="9">
        <f>+B664</f>
        <v>45992</v>
      </c>
      <c r="C686" s="19"/>
    </row>
    <row r="687" spans="1:4" x14ac:dyDescent="0.25">
      <c r="A687" s="7" t="s">
        <v>7</v>
      </c>
      <c r="B687" s="8">
        <f>VLOOKUP(D679,'[1] Wages Sheet FORM XVII'!A$11:U762,11,0)</f>
        <v>26</v>
      </c>
      <c r="C687" s="19"/>
    </row>
    <row r="688" spans="1:4" x14ac:dyDescent="0.25">
      <c r="A688" s="7" t="s">
        <v>6</v>
      </c>
      <c r="B688" s="7">
        <v>0</v>
      </c>
      <c r="C688" s="19"/>
    </row>
    <row r="689" spans="1:4" x14ac:dyDescent="0.25">
      <c r="A689" s="7" t="s">
        <v>5</v>
      </c>
      <c r="B689" s="7">
        <f>VLOOKUP(D679,'[1] Wages Sheet FORM XVII'!A$11:U762,12,0)</f>
        <v>480.77</v>
      </c>
      <c r="C689" s="19"/>
    </row>
    <row r="690" spans="1:4" x14ac:dyDescent="0.25">
      <c r="A690" s="7" t="s">
        <v>4</v>
      </c>
      <c r="B690" s="7" t="e">
        <f>VLOOKUP(D679,'[1] Wages Sheet FORM XVII'!A$11:U$34,15,0)</f>
        <v>#N/A</v>
      </c>
      <c r="C690" s="19"/>
    </row>
    <row r="691" spans="1:4" x14ac:dyDescent="0.25">
      <c r="A691" s="7" t="s">
        <v>3</v>
      </c>
      <c r="B691" s="8">
        <f>VLOOKUP(D679,'[1] Wages Sheet FORM XVII'!A$11:U762,17,0)</f>
        <v>1500</v>
      </c>
      <c r="C691" s="19"/>
    </row>
    <row r="692" spans="1:4" x14ac:dyDescent="0.25">
      <c r="A692" s="7" t="s">
        <v>2</v>
      </c>
      <c r="B692" s="8">
        <f>VLOOKUP(D679,'[1] Wages Sheet FORM XVII'!A$11:U762,20,0)</f>
        <v>1617</v>
      </c>
      <c r="C692" s="19"/>
    </row>
    <row r="693" spans="1:4" x14ac:dyDescent="0.25">
      <c r="A693" s="7" t="s">
        <v>1</v>
      </c>
      <c r="B693" s="8">
        <f>VLOOKUP(D679,'[1] Wages Sheet FORM XVII'!A$11:U762,21,0)</f>
        <v>14008.02</v>
      </c>
      <c r="C693" s="19"/>
    </row>
    <row r="694" spans="1:4" x14ac:dyDescent="0.25">
      <c r="A694" s="7"/>
      <c r="B694" s="7"/>
      <c r="C694" s="19"/>
    </row>
    <row r="695" spans="1:4" x14ac:dyDescent="0.25">
      <c r="A695" s="6"/>
      <c r="B695" s="5" t="s">
        <v>0</v>
      </c>
      <c r="C695" s="19"/>
    </row>
    <row r="696" spans="1:4" x14ac:dyDescent="0.25">
      <c r="A696" s="4"/>
      <c r="B696" s="3"/>
      <c r="C696" s="19"/>
    </row>
    <row r="697" spans="1:4" x14ac:dyDescent="0.25">
      <c r="C697" s="19"/>
    </row>
    <row r="699" spans="1:4" x14ac:dyDescent="0.25">
      <c r="A699" s="20"/>
      <c r="B699" s="20"/>
      <c r="C699" s="20"/>
    </row>
    <row r="700" spans="1:4" ht="13.8" x14ac:dyDescent="0.25">
      <c r="A700" s="18" t="s">
        <v>15</v>
      </c>
      <c r="B700" s="17"/>
      <c r="C700" s="19"/>
      <c r="D700" s="1">
        <f>+D679+1</f>
        <v>33</v>
      </c>
    </row>
    <row r="701" spans="1:4" ht="13.8" x14ac:dyDescent="0.25">
      <c r="A701" s="16" t="s">
        <v>14</v>
      </c>
      <c r="B701" s="15"/>
      <c r="C701" s="19"/>
    </row>
    <row r="702" spans="1:4" ht="13.8" x14ac:dyDescent="0.25">
      <c r="A702" s="14" t="s">
        <v>13</v>
      </c>
      <c r="B702" s="13"/>
      <c r="C702" s="19"/>
    </row>
    <row r="703" spans="1:4" x14ac:dyDescent="0.25">
      <c r="A703" s="6"/>
      <c r="B703" s="5"/>
      <c r="C703" s="19"/>
    </row>
    <row r="704" spans="1:4" x14ac:dyDescent="0.25">
      <c r="A704" s="12" t="s">
        <v>12</v>
      </c>
      <c r="B704" s="11" t="str">
        <f>+'[1]FORM XIII'!$F$6</f>
        <v>SORYE CONTRUCTION</v>
      </c>
      <c r="C704" s="19"/>
    </row>
    <row r="705" spans="1:3" x14ac:dyDescent="0.25">
      <c r="A705" s="7" t="s">
        <v>11</v>
      </c>
      <c r="B705" s="7" t="str">
        <f>VLOOKUP(D700,'[1] Wages Sheet FORM XVII'!A$11:U783,3,0)</f>
        <v>SHERKHAN</v>
      </c>
      <c r="C705" s="19"/>
    </row>
    <row r="706" spans="1:3" x14ac:dyDescent="0.25">
      <c r="A706" s="7" t="s">
        <v>10</v>
      </c>
      <c r="B706" s="10" t="s">
        <v>9</v>
      </c>
      <c r="C706" s="19"/>
    </row>
    <row r="707" spans="1:3" x14ac:dyDescent="0.25">
      <c r="A707" s="7" t="s">
        <v>8</v>
      </c>
      <c r="B707" s="9">
        <f>+B686</f>
        <v>45992</v>
      </c>
      <c r="C707" s="19"/>
    </row>
    <row r="708" spans="1:3" x14ac:dyDescent="0.25">
      <c r="A708" s="7" t="s">
        <v>7</v>
      </c>
      <c r="B708" s="8">
        <f>VLOOKUP(D700,'[1] Wages Sheet FORM XVII'!A$11:U783,11,0)</f>
        <v>25</v>
      </c>
      <c r="C708" s="19"/>
    </row>
    <row r="709" spans="1:3" x14ac:dyDescent="0.25">
      <c r="A709" s="7" t="s">
        <v>6</v>
      </c>
      <c r="B709" s="7">
        <v>0</v>
      </c>
      <c r="C709" s="19"/>
    </row>
    <row r="710" spans="1:3" x14ac:dyDescent="0.25">
      <c r="A710" s="7" t="s">
        <v>5</v>
      </c>
      <c r="B710" s="7">
        <f>VLOOKUP(D700,'[1] Wages Sheet FORM XVII'!A$11:U783,12,0)</f>
        <v>480.77</v>
      </c>
      <c r="C710" s="19"/>
    </row>
    <row r="711" spans="1:3" x14ac:dyDescent="0.25">
      <c r="A711" s="7" t="s">
        <v>4</v>
      </c>
      <c r="B711" s="7" t="e">
        <f>VLOOKUP(D700,'[1] Wages Sheet FORM XVII'!A$11:U$34,15,0)</f>
        <v>#N/A</v>
      </c>
      <c r="C711" s="19"/>
    </row>
    <row r="712" spans="1:3" x14ac:dyDescent="0.25">
      <c r="A712" s="7" t="s">
        <v>3</v>
      </c>
      <c r="B712" s="8">
        <f>VLOOKUP(D700,'[1] Wages Sheet FORM XVII'!A$11:U783,17,0)</f>
        <v>1442</v>
      </c>
      <c r="C712" s="19"/>
    </row>
    <row r="713" spans="1:3" x14ac:dyDescent="0.25">
      <c r="A713" s="7" t="s">
        <v>2</v>
      </c>
      <c r="B713" s="8">
        <f>VLOOKUP(D700,'[1] Wages Sheet FORM XVII'!A$11:U783,20,0)</f>
        <v>1539</v>
      </c>
      <c r="C713" s="19"/>
    </row>
    <row r="714" spans="1:3" x14ac:dyDescent="0.25">
      <c r="A714" s="7" t="s">
        <v>1</v>
      </c>
      <c r="B714" s="8">
        <f>VLOOKUP(D700,'[1] Wages Sheet FORM XVII'!A$11:U783,21,0)</f>
        <v>11442.25</v>
      </c>
      <c r="C714" s="19"/>
    </row>
    <row r="715" spans="1:3" x14ac:dyDescent="0.25">
      <c r="A715" s="7"/>
      <c r="B715" s="7"/>
      <c r="C715" s="19"/>
    </row>
    <row r="716" spans="1:3" x14ac:dyDescent="0.25">
      <c r="A716" s="6"/>
      <c r="B716" s="5" t="s">
        <v>0</v>
      </c>
      <c r="C716" s="19"/>
    </row>
    <row r="717" spans="1:3" x14ac:dyDescent="0.25">
      <c r="A717" s="4"/>
      <c r="B717" s="3"/>
      <c r="C717" s="19"/>
    </row>
    <row r="718" spans="1:3" x14ac:dyDescent="0.25">
      <c r="C718" s="19"/>
    </row>
    <row r="721" spans="1:4" x14ac:dyDescent="0.25">
      <c r="A721" s="20"/>
      <c r="B721" s="20"/>
      <c r="C721" s="20"/>
    </row>
    <row r="722" spans="1:4" ht="13.8" x14ac:dyDescent="0.25">
      <c r="A722" s="18" t="s">
        <v>15</v>
      </c>
      <c r="B722" s="17"/>
      <c r="C722" s="19"/>
      <c r="D722" s="1">
        <f>+D700+1</f>
        <v>34</v>
      </c>
    </row>
    <row r="723" spans="1:4" ht="13.8" x14ac:dyDescent="0.25">
      <c r="A723" s="16" t="s">
        <v>14</v>
      </c>
      <c r="B723" s="15"/>
      <c r="C723" s="19"/>
    </row>
    <row r="724" spans="1:4" ht="13.8" x14ac:dyDescent="0.25">
      <c r="A724" s="14" t="s">
        <v>13</v>
      </c>
      <c r="B724" s="13"/>
      <c r="C724" s="19"/>
    </row>
    <row r="725" spans="1:4" x14ac:dyDescent="0.25">
      <c r="A725" s="6"/>
      <c r="B725" s="5"/>
      <c r="C725" s="19"/>
    </row>
    <row r="726" spans="1:4" x14ac:dyDescent="0.25">
      <c r="A726" s="12" t="s">
        <v>12</v>
      </c>
      <c r="B726" s="11" t="str">
        <f>+'[1]FORM XIII'!$F$6</f>
        <v>SORYE CONTRUCTION</v>
      </c>
      <c r="C726" s="19"/>
    </row>
    <row r="727" spans="1:4" x14ac:dyDescent="0.25">
      <c r="A727" s="7" t="s">
        <v>11</v>
      </c>
      <c r="B727" s="7" t="str">
        <f>VLOOKUP(D722,'[1] Wages Sheet FORM XVII'!A$11:U805,3,0)</f>
        <v>DANISH</v>
      </c>
      <c r="C727" s="19"/>
    </row>
    <row r="728" spans="1:4" x14ac:dyDescent="0.25">
      <c r="A728" s="7" t="s">
        <v>10</v>
      </c>
      <c r="B728" s="21" t="s">
        <v>9</v>
      </c>
      <c r="C728" s="19"/>
    </row>
    <row r="729" spans="1:4" x14ac:dyDescent="0.25">
      <c r="A729" s="7" t="s">
        <v>8</v>
      </c>
      <c r="B729" s="9">
        <f>+B707</f>
        <v>45992</v>
      </c>
      <c r="C729" s="19"/>
    </row>
    <row r="730" spans="1:4" x14ac:dyDescent="0.25">
      <c r="A730" s="7" t="s">
        <v>7</v>
      </c>
      <c r="B730" s="8">
        <f>VLOOKUP(D722,'[1] Wages Sheet FORM XVII'!A$11:U805,11,0)</f>
        <v>19</v>
      </c>
      <c r="C730" s="19"/>
    </row>
    <row r="731" spans="1:4" x14ac:dyDescent="0.25">
      <c r="A731" s="7" t="s">
        <v>6</v>
      </c>
      <c r="B731" s="7">
        <v>0</v>
      </c>
      <c r="C731" s="19"/>
    </row>
    <row r="732" spans="1:4" x14ac:dyDescent="0.25">
      <c r="A732" s="7" t="s">
        <v>5</v>
      </c>
      <c r="B732" s="7">
        <f>VLOOKUP(D722,'[1] Wages Sheet FORM XVII'!A$11:U805,12,0)</f>
        <v>480.77</v>
      </c>
      <c r="C732" s="19"/>
    </row>
    <row r="733" spans="1:4" x14ac:dyDescent="0.25">
      <c r="A733" s="7" t="s">
        <v>4</v>
      </c>
      <c r="B733" s="7" t="e">
        <f>VLOOKUP(D722,'[1] Wages Sheet FORM XVII'!A$11:U$34,15,0)</f>
        <v>#N/A</v>
      </c>
      <c r="C733" s="19"/>
    </row>
    <row r="734" spans="1:4" x14ac:dyDescent="0.25">
      <c r="A734" s="7" t="s">
        <v>3</v>
      </c>
      <c r="B734" s="8">
        <f>VLOOKUP(D722,'[1] Wages Sheet FORM XVII'!A$11:U805,17,0)</f>
        <v>1096</v>
      </c>
      <c r="C734" s="19"/>
    </row>
    <row r="735" spans="1:4" x14ac:dyDescent="0.25">
      <c r="A735" s="7" t="s">
        <v>2</v>
      </c>
      <c r="B735" s="8">
        <f>VLOOKUP(D722,'[1] Wages Sheet FORM XVII'!A$11:U805,20,0)</f>
        <v>1170</v>
      </c>
      <c r="C735" s="19"/>
    </row>
    <row r="736" spans="1:4" x14ac:dyDescent="0.25">
      <c r="A736" s="7" t="s">
        <v>1</v>
      </c>
      <c r="B736" s="8">
        <f>VLOOKUP(D722,'[1] Wages Sheet FORM XVII'!A$11:U805,21,0)</f>
        <v>8685.6299999999992</v>
      </c>
      <c r="C736" s="19"/>
    </row>
    <row r="737" spans="1:4" x14ac:dyDescent="0.25">
      <c r="A737" s="7"/>
      <c r="B737" s="7"/>
      <c r="C737" s="19"/>
    </row>
    <row r="738" spans="1:4" x14ac:dyDescent="0.25">
      <c r="A738" s="6"/>
      <c r="B738" s="5" t="s">
        <v>0</v>
      </c>
      <c r="C738" s="19"/>
    </row>
    <row r="739" spans="1:4" x14ac:dyDescent="0.25">
      <c r="A739" s="4"/>
      <c r="B739" s="3"/>
      <c r="C739" s="19"/>
    </row>
    <row r="740" spans="1:4" x14ac:dyDescent="0.25">
      <c r="C740" s="19"/>
    </row>
    <row r="742" spans="1:4" x14ac:dyDescent="0.25">
      <c r="A742" s="20"/>
      <c r="B742" s="20"/>
      <c r="C742" s="20"/>
    </row>
    <row r="743" spans="1:4" ht="13.8" x14ac:dyDescent="0.25">
      <c r="A743" s="18" t="s">
        <v>15</v>
      </c>
      <c r="B743" s="17"/>
      <c r="C743" s="19"/>
      <c r="D743" s="1">
        <f>+D722+1</f>
        <v>35</v>
      </c>
    </row>
    <row r="744" spans="1:4" ht="13.8" x14ac:dyDescent="0.25">
      <c r="A744" s="16" t="s">
        <v>14</v>
      </c>
      <c r="B744" s="15"/>
      <c r="C744" s="19"/>
    </row>
    <row r="745" spans="1:4" ht="13.8" x14ac:dyDescent="0.25">
      <c r="A745" s="14" t="s">
        <v>13</v>
      </c>
      <c r="B745" s="13"/>
      <c r="C745" s="19"/>
    </row>
    <row r="746" spans="1:4" x14ac:dyDescent="0.25">
      <c r="A746" s="6"/>
      <c r="B746" s="5"/>
      <c r="C746" s="19"/>
    </row>
    <row r="747" spans="1:4" x14ac:dyDescent="0.25">
      <c r="A747" s="12" t="s">
        <v>12</v>
      </c>
      <c r="B747" s="11" t="str">
        <f>+'[1]FORM XIII'!$F$6</f>
        <v>SORYE CONTRUCTION</v>
      </c>
      <c r="C747" s="19"/>
    </row>
    <row r="748" spans="1:4" x14ac:dyDescent="0.25">
      <c r="A748" s="7" t="s">
        <v>11</v>
      </c>
      <c r="B748" s="7" t="str">
        <f>VLOOKUP(D743,'[1] Wages Sheet FORM XVII'!A$11:U826,3,0)</f>
        <v>SAKIR ALI</v>
      </c>
      <c r="C748" s="19"/>
    </row>
    <row r="749" spans="1:4" x14ac:dyDescent="0.25">
      <c r="A749" s="7" t="s">
        <v>10</v>
      </c>
      <c r="B749" s="10" t="s">
        <v>9</v>
      </c>
      <c r="C749" s="19"/>
    </row>
    <row r="750" spans="1:4" x14ac:dyDescent="0.25">
      <c r="A750" s="7" t="s">
        <v>8</v>
      </c>
      <c r="B750" s="9">
        <f>+B729</f>
        <v>45992</v>
      </c>
      <c r="C750" s="19"/>
    </row>
    <row r="751" spans="1:4" x14ac:dyDescent="0.25">
      <c r="A751" s="7" t="s">
        <v>7</v>
      </c>
      <c r="B751" s="8">
        <f>VLOOKUP(D743,'[1] Wages Sheet FORM XVII'!A$11:U826,11,0)</f>
        <v>20</v>
      </c>
      <c r="C751" s="19"/>
    </row>
    <row r="752" spans="1:4" x14ac:dyDescent="0.25">
      <c r="A752" s="7" t="s">
        <v>6</v>
      </c>
      <c r="B752" s="7">
        <v>0</v>
      </c>
      <c r="C752" s="19"/>
    </row>
    <row r="753" spans="1:4" x14ac:dyDescent="0.25">
      <c r="A753" s="7" t="s">
        <v>5</v>
      </c>
      <c r="B753" s="7">
        <f>VLOOKUP(D743,'[1] Wages Sheet FORM XVII'!A$11:U826,12,0)</f>
        <v>480.77</v>
      </c>
      <c r="C753" s="19"/>
    </row>
    <row r="754" spans="1:4" x14ac:dyDescent="0.25">
      <c r="A754" s="7" t="s">
        <v>4</v>
      </c>
      <c r="B754" s="7" t="e">
        <f>VLOOKUP(D743,'[1] Wages Sheet FORM XVII'!A$11:U$34,15,0)</f>
        <v>#N/A</v>
      </c>
      <c r="C754" s="19"/>
    </row>
    <row r="755" spans="1:4" x14ac:dyDescent="0.25">
      <c r="A755" s="7" t="s">
        <v>3</v>
      </c>
      <c r="B755" s="8">
        <f>VLOOKUP(D743,'[1] Wages Sheet FORM XVII'!A$11:U826,17,0)</f>
        <v>1154</v>
      </c>
      <c r="C755" s="19"/>
    </row>
    <row r="756" spans="1:4" x14ac:dyDescent="0.25">
      <c r="A756" s="7" t="s">
        <v>2</v>
      </c>
      <c r="B756" s="8">
        <f>VLOOKUP(D743,'[1] Wages Sheet FORM XVII'!A$11:U826,20,0)</f>
        <v>1433</v>
      </c>
      <c r="C756" s="19"/>
    </row>
    <row r="757" spans="1:4" x14ac:dyDescent="0.25">
      <c r="A757" s="7" t="s">
        <v>1</v>
      </c>
      <c r="B757" s="8">
        <f>VLOOKUP(D743,'[1] Wages Sheet FORM XVII'!A$11:U826,21,0)</f>
        <v>9083.4</v>
      </c>
      <c r="C757" s="19"/>
    </row>
    <row r="758" spans="1:4" x14ac:dyDescent="0.25">
      <c r="A758" s="7"/>
      <c r="B758" s="7"/>
      <c r="C758" s="19"/>
    </row>
    <row r="759" spans="1:4" x14ac:dyDescent="0.25">
      <c r="A759" s="6"/>
      <c r="B759" s="5" t="s">
        <v>0</v>
      </c>
      <c r="C759" s="19"/>
    </row>
    <row r="760" spans="1:4" x14ac:dyDescent="0.25">
      <c r="A760" s="4"/>
      <c r="B760" s="3"/>
      <c r="C760" s="19"/>
    </row>
    <row r="761" spans="1:4" x14ac:dyDescent="0.25">
      <c r="C761" s="19"/>
    </row>
    <row r="764" spans="1:4" x14ac:dyDescent="0.25">
      <c r="A764" s="20"/>
      <c r="B764" s="20"/>
      <c r="C764" s="20"/>
    </row>
    <row r="765" spans="1:4" ht="13.8" x14ac:dyDescent="0.25">
      <c r="A765" s="18" t="s">
        <v>15</v>
      </c>
      <c r="B765" s="17"/>
      <c r="C765" s="19"/>
      <c r="D765" s="1">
        <f>+D743+1</f>
        <v>36</v>
      </c>
    </row>
    <row r="766" spans="1:4" ht="13.8" x14ac:dyDescent="0.25">
      <c r="A766" s="16" t="s">
        <v>14</v>
      </c>
      <c r="B766" s="15"/>
      <c r="C766" s="19"/>
    </row>
    <row r="767" spans="1:4" ht="13.8" x14ac:dyDescent="0.25">
      <c r="A767" s="14" t="s">
        <v>13</v>
      </c>
      <c r="B767" s="13"/>
      <c r="C767" s="19"/>
    </row>
    <row r="768" spans="1:4" x14ac:dyDescent="0.25">
      <c r="A768" s="6"/>
      <c r="B768" s="5"/>
      <c r="C768" s="19"/>
    </row>
    <row r="769" spans="1:3" x14ac:dyDescent="0.25">
      <c r="A769" s="12" t="s">
        <v>12</v>
      </c>
      <c r="B769" s="11" t="str">
        <f>+'[1]FORM XIII'!$F$6</f>
        <v>SORYE CONTRUCTION</v>
      </c>
      <c r="C769" s="19"/>
    </row>
    <row r="770" spans="1:3" x14ac:dyDescent="0.25">
      <c r="A770" s="7" t="s">
        <v>11</v>
      </c>
      <c r="B770" s="7" t="str">
        <f>VLOOKUP(D765,'[1] Wages Sheet FORM XVII'!A$11:U848,3,0)</f>
        <v>AASKAR</v>
      </c>
      <c r="C770" s="19"/>
    </row>
    <row r="771" spans="1:3" x14ac:dyDescent="0.25">
      <c r="A771" s="7" t="s">
        <v>10</v>
      </c>
      <c r="B771" s="10" t="s">
        <v>9</v>
      </c>
      <c r="C771" s="19"/>
    </row>
    <row r="772" spans="1:3" x14ac:dyDescent="0.25">
      <c r="A772" s="7" t="s">
        <v>8</v>
      </c>
      <c r="B772" s="9">
        <f>+B750</f>
        <v>45992</v>
      </c>
      <c r="C772" s="19"/>
    </row>
    <row r="773" spans="1:3" x14ac:dyDescent="0.25">
      <c r="A773" s="7" t="s">
        <v>7</v>
      </c>
      <c r="B773" s="8">
        <f>VLOOKUP(D765,'[1] Wages Sheet FORM XVII'!A$11:U848,11,0)</f>
        <v>21</v>
      </c>
      <c r="C773" s="19"/>
    </row>
    <row r="774" spans="1:3" x14ac:dyDescent="0.25">
      <c r="A774" s="7" t="s">
        <v>6</v>
      </c>
      <c r="B774" s="7">
        <v>0</v>
      </c>
      <c r="C774" s="19"/>
    </row>
    <row r="775" spans="1:3" x14ac:dyDescent="0.25">
      <c r="A775" s="7" t="s">
        <v>5</v>
      </c>
      <c r="B775" s="7">
        <f>VLOOKUP(D765,'[1] Wages Sheet FORM XVII'!A$11:U848,12,0)</f>
        <v>480.77</v>
      </c>
      <c r="C775" s="19"/>
    </row>
    <row r="776" spans="1:3" x14ac:dyDescent="0.25">
      <c r="A776" s="7" t="s">
        <v>4</v>
      </c>
      <c r="B776" s="7" t="e">
        <f>VLOOKUP(D765,'[1] Wages Sheet FORM XVII'!A$11:U$34,15,0)</f>
        <v>#N/A</v>
      </c>
      <c r="C776" s="19"/>
    </row>
    <row r="777" spans="1:3" x14ac:dyDescent="0.25">
      <c r="A777" s="7" t="s">
        <v>3</v>
      </c>
      <c r="B777" s="8">
        <f>VLOOKUP(D765,'[1] Wages Sheet FORM XVII'!A$11:U848,17,0)</f>
        <v>1212</v>
      </c>
      <c r="C777" s="19"/>
    </row>
    <row r="778" spans="1:3" x14ac:dyDescent="0.25">
      <c r="A778" s="7" t="s">
        <v>2</v>
      </c>
      <c r="B778" s="8">
        <f>VLOOKUP(D765,'[1] Wages Sheet FORM XVII'!A$11:U848,20,0)</f>
        <v>1294</v>
      </c>
      <c r="C778" s="19"/>
    </row>
    <row r="779" spans="1:3" x14ac:dyDescent="0.25">
      <c r="A779" s="7" t="s">
        <v>1</v>
      </c>
      <c r="B779" s="8">
        <f>VLOOKUP(D765,'[1] Wages Sheet FORM XVII'!A$11:U848,21,0)</f>
        <v>9703.17</v>
      </c>
      <c r="C779" s="19"/>
    </row>
    <row r="780" spans="1:3" x14ac:dyDescent="0.25">
      <c r="A780" s="7"/>
      <c r="B780" s="7"/>
      <c r="C780" s="19"/>
    </row>
    <row r="781" spans="1:3" x14ac:dyDescent="0.25">
      <c r="A781" s="6"/>
      <c r="B781" s="5" t="s">
        <v>0</v>
      </c>
      <c r="C781" s="19"/>
    </row>
    <row r="782" spans="1:3" x14ac:dyDescent="0.25">
      <c r="A782" s="4"/>
      <c r="B782" s="3"/>
      <c r="C782" s="19"/>
    </row>
    <row r="783" spans="1:3" x14ac:dyDescent="0.25">
      <c r="C783" s="19"/>
    </row>
    <row r="785" spans="1:4" x14ac:dyDescent="0.25">
      <c r="A785" s="20"/>
      <c r="B785" s="20"/>
      <c r="C785" s="20"/>
    </row>
    <row r="786" spans="1:4" ht="13.8" x14ac:dyDescent="0.25">
      <c r="A786" s="18" t="s">
        <v>15</v>
      </c>
      <c r="B786" s="17"/>
      <c r="C786" s="19"/>
      <c r="D786" s="1">
        <f>+D765+1</f>
        <v>37</v>
      </c>
    </row>
    <row r="787" spans="1:4" ht="13.8" x14ac:dyDescent="0.25">
      <c r="A787" s="16" t="s">
        <v>14</v>
      </c>
      <c r="B787" s="15"/>
      <c r="C787" s="19"/>
    </row>
    <row r="788" spans="1:4" ht="13.8" x14ac:dyDescent="0.25">
      <c r="A788" s="14" t="s">
        <v>13</v>
      </c>
      <c r="B788" s="13"/>
      <c r="C788" s="19"/>
    </row>
    <row r="789" spans="1:4" x14ac:dyDescent="0.25">
      <c r="A789" s="6"/>
      <c r="B789" s="5"/>
      <c r="C789" s="19"/>
    </row>
    <row r="790" spans="1:4" x14ac:dyDescent="0.25">
      <c r="A790" s="12" t="s">
        <v>12</v>
      </c>
      <c r="B790" s="11" t="str">
        <f>+'[1]FORM XIII'!$F$6</f>
        <v>SORYE CONTRUCTION</v>
      </c>
      <c r="C790" s="19"/>
    </row>
    <row r="791" spans="1:4" x14ac:dyDescent="0.25">
      <c r="A791" s="7" t="s">
        <v>11</v>
      </c>
      <c r="B791" s="7" t="str">
        <f>VLOOKUP(D786,'[1] Wages Sheet FORM XVII'!A$11:U869,3,0)</f>
        <v>AKASH</v>
      </c>
      <c r="C791" s="19"/>
    </row>
    <row r="792" spans="1:4" x14ac:dyDescent="0.25">
      <c r="A792" s="7" t="s">
        <v>10</v>
      </c>
      <c r="B792" s="10" t="s">
        <v>9</v>
      </c>
      <c r="C792" s="19"/>
    </row>
    <row r="793" spans="1:4" x14ac:dyDescent="0.25">
      <c r="A793" s="7" t="s">
        <v>8</v>
      </c>
      <c r="B793" s="9">
        <f>+B772</f>
        <v>45992</v>
      </c>
      <c r="C793" s="19"/>
    </row>
    <row r="794" spans="1:4" x14ac:dyDescent="0.25">
      <c r="A794" s="7" t="s">
        <v>7</v>
      </c>
      <c r="B794" s="8">
        <f>VLOOKUP(D786,'[1] Wages Sheet FORM XVII'!A$11:U869,11,0)</f>
        <v>19</v>
      </c>
      <c r="C794" s="19"/>
    </row>
    <row r="795" spans="1:4" x14ac:dyDescent="0.25">
      <c r="A795" s="7" t="s">
        <v>6</v>
      </c>
      <c r="B795" s="7">
        <v>0</v>
      </c>
      <c r="C795" s="19"/>
    </row>
    <row r="796" spans="1:4" x14ac:dyDescent="0.25">
      <c r="A796" s="7" t="s">
        <v>5</v>
      </c>
      <c r="B796" s="7">
        <f>VLOOKUP(D786,'[1] Wages Sheet FORM XVII'!A$11:U869,12,0)</f>
        <v>480.77</v>
      </c>
      <c r="C796" s="19"/>
    </row>
    <row r="797" spans="1:4" x14ac:dyDescent="0.25">
      <c r="A797" s="7" t="s">
        <v>4</v>
      </c>
      <c r="B797" s="7" t="e">
        <f>VLOOKUP(D786,'[1] Wages Sheet FORM XVII'!A$11:U$34,15,0)</f>
        <v>#N/A</v>
      </c>
      <c r="C797" s="19"/>
    </row>
    <row r="798" spans="1:4" x14ac:dyDescent="0.25">
      <c r="A798" s="7" t="s">
        <v>3</v>
      </c>
      <c r="B798" s="8">
        <f>VLOOKUP(D786,'[1] Wages Sheet FORM XVII'!A$11:U869,17,0)</f>
        <v>1096</v>
      </c>
      <c r="C798" s="19"/>
    </row>
    <row r="799" spans="1:4" x14ac:dyDescent="0.25">
      <c r="A799" s="7" t="s">
        <v>2</v>
      </c>
      <c r="B799" s="8">
        <f>VLOOKUP(D786,'[1] Wages Sheet FORM XVII'!A$11:U869,20,0)</f>
        <v>1174</v>
      </c>
      <c r="C799" s="19"/>
    </row>
    <row r="800" spans="1:4" x14ac:dyDescent="0.25">
      <c r="A800" s="7" t="s">
        <v>1</v>
      </c>
      <c r="B800" s="8">
        <f>VLOOKUP(D786,'[1] Wages Sheet FORM XVII'!A$11:U869,21,0)</f>
        <v>9222.6299999999992</v>
      </c>
      <c r="C800" s="19"/>
    </row>
    <row r="801" spans="1:4" x14ac:dyDescent="0.25">
      <c r="A801" s="7"/>
      <c r="B801" s="7"/>
      <c r="C801" s="19"/>
    </row>
    <row r="802" spans="1:4" x14ac:dyDescent="0.25">
      <c r="A802" s="6"/>
      <c r="B802" s="5" t="s">
        <v>0</v>
      </c>
      <c r="C802" s="19"/>
    </row>
    <row r="803" spans="1:4" x14ac:dyDescent="0.25">
      <c r="A803" s="4"/>
      <c r="B803" s="3"/>
      <c r="C803" s="19"/>
    </row>
    <row r="804" spans="1:4" x14ac:dyDescent="0.25">
      <c r="C804" s="19"/>
    </row>
    <row r="807" spans="1:4" x14ac:dyDescent="0.25">
      <c r="A807" s="20"/>
      <c r="B807" s="20"/>
      <c r="C807" s="20"/>
    </row>
    <row r="808" spans="1:4" ht="13.8" x14ac:dyDescent="0.25">
      <c r="A808" s="18" t="s">
        <v>15</v>
      </c>
      <c r="B808" s="17"/>
      <c r="C808" s="19"/>
      <c r="D808" s="1">
        <f>+D786+1</f>
        <v>38</v>
      </c>
    </row>
    <row r="809" spans="1:4" ht="13.8" x14ac:dyDescent="0.25">
      <c r="A809" s="16" t="s">
        <v>14</v>
      </c>
      <c r="B809" s="15"/>
      <c r="C809" s="19"/>
    </row>
    <row r="810" spans="1:4" ht="13.8" x14ac:dyDescent="0.25">
      <c r="A810" s="14" t="s">
        <v>13</v>
      </c>
      <c r="B810" s="13"/>
      <c r="C810" s="19"/>
    </row>
    <row r="811" spans="1:4" x14ac:dyDescent="0.25">
      <c r="A811" s="6"/>
      <c r="B811" s="5"/>
      <c r="C811" s="19"/>
    </row>
    <row r="812" spans="1:4" x14ac:dyDescent="0.25">
      <c r="A812" s="12" t="s">
        <v>12</v>
      </c>
      <c r="B812" s="11" t="str">
        <f>+'[1]FORM XIII'!$F$6</f>
        <v>SORYE CONTRUCTION</v>
      </c>
      <c r="C812" s="19"/>
    </row>
    <row r="813" spans="1:4" x14ac:dyDescent="0.25">
      <c r="A813" s="7" t="s">
        <v>11</v>
      </c>
      <c r="B813" s="7" t="str">
        <f>VLOOKUP(D808,'[1] Wages Sheet FORM XVII'!A$11:U891,3,0)</f>
        <v>SUMIT KUMAR</v>
      </c>
      <c r="C813" s="19"/>
    </row>
    <row r="814" spans="1:4" x14ac:dyDescent="0.25">
      <c r="A814" s="7" t="s">
        <v>10</v>
      </c>
      <c r="B814" s="10" t="s">
        <v>9</v>
      </c>
      <c r="C814" s="19"/>
    </row>
    <row r="815" spans="1:4" x14ac:dyDescent="0.25">
      <c r="A815" s="7" t="s">
        <v>8</v>
      </c>
      <c r="B815" s="9">
        <f>+B793</f>
        <v>45992</v>
      </c>
      <c r="C815" s="19"/>
    </row>
    <row r="816" spans="1:4" x14ac:dyDescent="0.25">
      <c r="A816" s="7" t="s">
        <v>7</v>
      </c>
      <c r="B816" s="8">
        <f>VLOOKUP(D808,'[1] Wages Sheet FORM XVII'!A$11:U891,11,0)</f>
        <v>21</v>
      </c>
      <c r="C816" s="19"/>
    </row>
    <row r="817" spans="1:4" x14ac:dyDescent="0.25">
      <c r="A817" s="7" t="s">
        <v>6</v>
      </c>
      <c r="B817" s="7">
        <v>0</v>
      </c>
      <c r="C817" s="19"/>
    </row>
    <row r="818" spans="1:4" x14ac:dyDescent="0.25">
      <c r="A818" s="7" t="s">
        <v>5</v>
      </c>
      <c r="B818" s="7">
        <f>VLOOKUP(D808,'[1] Wages Sheet FORM XVII'!A$11:U891,12,0)</f>
        <v>480.77</v>
      </c>
      <c r="C818" s="19"/>
    </row>
    <row r="819" spans="1:4" x14ac:dyDescent="0.25">
      <c r="A819" s="7" t="s">
        <v>4</v>
      </c>
      <c r="B819" s="7" t="e">
        <f>VLOOKUP(D808,'[1] Wages Sheet FORM XVII'!A$11:U$34,15,0)</f>
        <v>#N/A</v>
      </c>
      <c r="C819" s="19"/>
    </row>
    <row r="820" spans="1:4" x14ac:dyDescent="0.25">
      <c r="A820" s="7" t="s">
        <v>3</v>
      </c>
      <c r="B820" s="8">
        <f>VLOOKUP(D808,'[1] Wages Sheet FORM XVII'!A$11:U891,17,0)</f>
        <v>1212</v>
      </c>
      <c r="C820" s="19"/>
    </row>
    <row r="821" spans="1:4" x14ac:dyDescent="0.25">
      <c r="A821" s="7" t="s">
        <v>2</v>
      </c>
      <c r="B821" s="8">
        <f>VLOOKUP(D808,'[1] Wages Sheet FORM XVII'!A$11:U891,20,0)</f>
        <v>1304</v>
      </c>
      <c r="C821" s="19"/>
    </row>
    <row r="822" spans="1:4" x14ac:dyDescent="0.25">
      <c r="A822" s="7" t="s">
        <v>1</v>
      </c>
      <c r="B822" s="8">
        <f>VLOOKUP(D808,'[1] Wages Sheet FORM XVII'!A$11:U891,21,0)</f>
        <v>10955.17</v>
      </c>
      <c r="C822" s="19"/>
    </row>
    <row r="823" spans="1:4" x14ac:dyDescent="0.25">
      <c r="A823" s="7"/>
      <c r="B823" s="7"/>
      <c r="C823" s="19"/>
    </row>
    <row r="824" spans="1:4" x14ac:dyDescent="0.25">
      <c r="A824" s="6"/>
      <c r="B824" s="5" t="s">
        <v>0</v>
      </c>
      <c r="C824" s="19"/>
    </row>
    <row r="825" spans="1:4" x14ac:dyDescent="0.25">
      <c r="A825" s="4"/>
      <c r="B825" s="3"/>
      <c r="C825" s="19"/>
    </row>
    <row r="826" spans="1:4" x14ac:dyDescent="0.25">
      <c r="C826" s="19"/>
    </row>
    <row r="829" spans="1:4" x14ac:dyDescent="0.25">
      <c r="A829" s="20"/>
      <c r="B829" s="20"/>
      <c r="C829" s="20"/>
    </row>
    <row r="830" spans="1:4" ht="13.8" x14ac:dyDescent="0.25">
      <c r="A830" s="18" t="s">
        <v>15</v>
      </c>
      <c r="B830" s="17"/>
      <c r="C830" s="19"/>
      <c r="D830" s="1">
        <f>+D808+1</f>
        <v>39</v>
      </c>
    </row>
    <row r="831" spans="1:4" ht="13.8" x14ac:dyDescent="0.25">
      <c r="A831" s="16" t="s">
        <v>14</v>
      </c>
      <c r="B831" s="15"/>
      <c r="C831" s="19"/>
    </row>
    <row r="832" spans="1:4" ht="13.8" x14ac:dyDescent="0.25">
      <c r="A832" s="14" t="s">
        <v>13</v>
      </c>
      <c r="B832" s="13"/>
      <c r="C832" s="19"/>
    </row>
    <row r="833" spans="1:3" x14ac:dyDescent="0.25">
      <c r="A833" s="6"/>
      <c r="B833" s="5"/>
      <c r="C833" s="19"/>
    </row>
    <row r="834" spans="1:3" x14ac:dyDescent="0.25">
      <c r="A834" s="12" t="s">
        <v>12</v>
      </c>
      <c r="B834" s="11" t="str">
        <f>+'[1]FORM XIII'!$F$6</f>
        <v>SORYE CONTRUCTION</v>
      </c>
      <c r="C834" s="19"/>
    </row>
    <row r="835" spans="1:3" x14ac:dyDescent="0.25">
      <c r="A835" s="7" t="s">
        <v>11</v>
      </c>
      <c r="B835" s="7" t="str">
        <f>VLOOKUP(D830,'[1] Wages Sheet FORM XVII'!A$11:U913,3,0)</f>
        <v>ASHISH KUMAR</v>
      </c>
      <c r="C835" s="19"/>
    </row>
    <row r="836" spans="1:3" x14ac:dyDescent="0.25">
      <c r="A836" s="7" t="s">
        <v>10</v>
      </c>
      <c r="B836" s="10" t="s">
        <v>9</v>
      </c>
      <c r="C836" s="19"/>
    </row>
    <row r="837" spans="1:3" x14ac:dyDescent="0.25">
      <c r="A837" s="7" t="s">
        <v>8</v>
      </c>
      <c r="B837" s="9">
        <f>+B815</f>
        <v>45992</v>
      </c>
      <c r="C837" s="19"/>
    </row>
    <row r="838" spans="1:3" x14ac:dyDescent="0.25">
      <c r="A838" s="7" t="s">
        <v>7</v>
      </c>
      <c r="B838" s="8">
        <f>VLOOKUP(D830,'[1] Wages Sheet FORM XVII'!A$11:U913,11,0)</f>
        <v>23</v>
      </c>
      <c r="C838" s="19"/>
    </row>
    <row r="839" spans="1:3" x14ac:dyDescent="0.25">
      <c r="A839" s="7" t="s">
        <v>6</v>
      </c>
      <c r="B839" s="7">
        <v>0</v>
      </c>
      <c r="C839" s="19"/>
    </row>
    <row r="840" spans="1:3" x14ac:dyDescent="0.25">
      <c r="A840" s="7" t="s">
        <v>5</v>
      </c>
      <c r="B840" s="7">
        <f>VLOOKUP(D830,'[1] Wages Sheet FORM XVII'!A$11:U913,12,0)</f>
        <v>480.77</v>
      </c>
      <c r="C840" s="19"/>
    </row>
    <row r="841" spans="1:3" x14ac:dyDescent="0.25">
      <c r="A841" s="7" t="s">
        <v>4</v>
      </c>
      <c r="B841" s="7" t="e">
        <f>VLOOKUP(D830,'[1] Wages Sheet FORM XVII'!A$11:U$34,15,0)</f>
        <v>#N/A</v>
      </c>
      <c r="C841" s="19"/>
    </row>
    <row r="842" spans="1:3" x14ac:dyDescent="0.25">
      <c r="A842" s="7" t="s">
        <v>3</v>
      </c>
      <c r="B842" s="8">
        <f>VLOOKUP(D830,'[1] Wages Sheet FORM XVII'!A$11:U913,17,0)</f>
        <v>1327</v>
      </c>
      <c r="C842" s="19"/>
    </row>
    <row r="843" spans="1:3" x14ac:dyDescent="0.25">
      <c r="A843" s="7" t="s">
        <v>2</v>
      </c>
      <c r="B843" s="8">
        <f>VLOOKUP(D830,'[1] Wages Sheet FORM XVII'!A$11:U913,20,0)</f>
        <v>1442</v>
      </c>
      <c r="C843" s="19"/>
    </row>
    <row r="844" spans="1:3" x14ac:dyDescent="0.25">
      <c r="A844" s="7" t="s">
        <v>1</v>
      </c>
      <c r="B844" s="8">
        <f>VLOOKUP(D830,'[1] Wages Sheet FORM XVII'!A$11:U913,21,0)</f>
        <v>10697.71</v>
      </c>
      <c r="C844" s="19"/>
    </row>
    <row r="845" spans="1:3" x14ac:dyDescent="0.25">
      <c r="A845" s="7"/>
      <c r="B845" s="7"/>
      <c r="C845" s="19"/>
    </row>
    <row r="846" spans="1:3" x14ac:dyDescent="0.25">
      <c r="A846" s="6"/>
      <c r="B846" s="5" t="s">
        <v>0</v>
      </c>
      <c r="C846" s="19"/>
    </row>
    <row r="847" spans="1:3" x14ac:dyDescent="0.25">
      <c r="A847" s="4"/>
      <c r="B847" s="3"/>
      <c r="C847" s="19"/>
    </row>
    <row r="848" spans="1:3" x14ac:dyDescent="0.25">
      <c r="C848" s="19"/>
    </row>
    <row r="852" spans="1:4" x14ac:dyDescent="0.25">
      <c r="A852" s="20"/>
      <c r="B852" s="20"/>
      <c r="C852" s="20"/>
    </row>
    <row r="853" spans="1:4" ht="13.8" x14ac:dyDescent="0.25">
      <c r="A853" s="18" t="s">
        <v>15</v>
      </c>
      <c r="B853" s="17"/>
      <c r="C853" s="19"/>
      <c r="D853" s="1">
        <f>+D830+1</f>
        <v>40</v>
      </c>
    </row>
    <row r="854" spans="1:4" ht="13.8" x14ac:dyDescent="0.25">
      <c r="A854" s="16" t="s">
        <v>14</v>
      </c>
      <c r="B854" s="15"/>
      <c r="C854" s="19"/>
    </row>
    <row r="855" spans="1:4" ht="13.8" x14ac:dyDescent="0.25">
      <c r="A855" s="14" t="s">
        <v>13</v>
      </c>
      <c r="B855" s="13"/>
      <c r="C855" s="19"/>
    </row>
    <row r="856" spans="1:4" x14ac:dyDescent="0.25">
      <c r="A856" s="6"/>
      <c r="B856" s="5"/>
      <c r="C856" s="19"/>
    </row>
    <row r="857" spans="1:4" x14ac:dyDescent="0.25">
      <c r="A857" s="12" t="s">
        <v>12</v>
      </c>
      <c r="B857" s="11" t="str">
        <f>+'[1]FORM XIII'!$F$6</f>
        <v>SORYE CONTRUCTION</v>
      </c>
      <c r="C857" s="19"/>
    </row>
    <row r="858" spans="1:4" x14ac:dyDescent="0.25">
      <c r="A858" s="7" t="s">
        <v>11</v>
      </c>
      <c r="B858" s="7" t="str">
        <f>VLOOKUP(D853,'[1] Wages Sheet FORM XVII'!A$11:U936,3,0)</f>
        <v>BINTU</v>
      </c>
      <c r="C858" s="19"/>
    </row>
    <row r="859" spans="1:4" x14ac:dyDescent="0.25">
      <c r="A859" s="7" t="s">
        <v>10</v>
      </c>
      <c r="B859" s="10" t="s">
        <v>9</v>
      </c>
      <c r="C859" s="19"/>
    </row>
    <row r="860" spans="1:4" x14ac:dyDescent="0.25">
      <c r="A860" s="7" t="s">
        <v>8</v>
      </c>
      <c r="B860" s="9">
        <v>45870</v>
      </c>
      <c r="C860" s="19"/>
    </row>
    <row r="861" spans="1:4" x14ac:dyDescent="0.25">
      <c r="A861" s="7" t="s">
        <v>7</v>
      </c>
      <c r="B861" s="8">
        <f>VLOOKUP(D853,'[1] Wages Sheet FORM XVII'!A$11:U936,11,0)</f>
        <v>23</v>
      </c>
      <c r="C861" s="19"/>
    </row>
    <row r="862" spans="1:4" x14ac:dyDescent="0.25">
      <c r="A862" s="7" t="s">
        <v>6</v>
      </c>
      <c r="B862" s="7">
        <v>0</v>
      </c>
      <c r="C862" s="19"/>
    </row>
    <row r="863" spans="1:4" x14ac:dyDescent="0.25">
      <c r="A863" s="7" t="s">
        <v>5</v>
      </c>
      <c r="B863" s="7">
        <f>VLOOKUP(D853,'[1] Wages Sheet FORM XVII'!A$11:U936,12,0)</f>
        <v>480.77</v>
      </c>
      <c r="C863" s="19"/>
    </row>
    <row r="864" spans="1:4" x14ac:dyDescent="0.25">
      <c r="A864" s="7" t="s">
        <v>4</v>
      </c>
      <c r="B864" s="7" t="e">
        <f>VLOOKUP(D853,'[1] Wages Sheet FORM XVII'!A$11:U$34,15,0)</f>
        <v>#N/A</v>
      </c>
      <c r="C864" s="19"/>
    </row>
    <row r="865" spans="1:4" x14ac:dyDescent="0.25">
      <c r="A865" s="7" t="s">
        <v>3</v>
      </c>
      <c r="B865" s="8">
        <f>VLOOKUP(D853,'[1] Wages Sheet FORM XVII'!A$11:U936,17,0)</f>
        <v>1327</v>
      </c>
      <c r="C865" s="19"/>
    </row>
    <row r="866" spans="1:4" x14ac:dyDescent="0.25">
      <c r="A866" s="7" t="s">
        <v>2</v>
      </c>
      <c r="B866" s="8">
        <f>VLOOKUP(D853,'[1] Wages Sheet FORM XVII'!A$11:U936,20,0)</f>
        <v>2772</v>
      </c>
      <c r="C866" s="19"/>
    </row>
    <row r="867" spans="1:4" x14ac:dyDescent="0.25">
      <c r="A867" s="7" t="s">
        <v>1</v>
      </c>
      <c r="B867" s="8">
        <f>VLOOKUP(D853,'[1] Wages Sheet FORM XVII'!A$11:U936,21,0)</f>
        <v>9848.7099999999991</v>
      </c>
      <c r="C867" s="19"/>
    </row>
    <row r="868" spans="1:4" x14ac:dyDescent="0.25">
      <c r="A868" s="7"/>
      <c r="B868" s="7"/>
      <c r="C868" s="19"/>
    </row>
    <row r="869" spans="1:4" x14ac:dyDescent="0.25">
      <c r="A869" s="6"/>
      <c r="B869" s="5" t="s">
        <v>0</v>
      </c>
      <c r="C869" s="19"/>
    </row>
    <row r="870" spans="1:4" x14ac:dyDescent="0.25">
      <c r="A870" s="4"/>
      <c r="B870" s="3"/>
      <c r="C870" s="19"/>
    </row>
    <row r="871" spans="1:4" x14ac:dyDescent="0.25">
      <c r="C871" s="19"/>
    </row>
    <row r="874" spans="1:4" x14ac:dyDescent="0.25">
      <c r="A874" s="20"/>
      <c r="B874" s="20"/>
      <c r="C874" s="20"/>
    </row>
    <row r="875" spans="1:4" ht="13.8" x14ac:dyDescent="0.25">
      <c r="A875" s="18" t="s">
        <v>15</v>
      </c>
      <c r="B875" s="17"/>
      <c r="C875" s="19"/>
      <c r="D875" s="1">
        <f>+D853+1</f>
        <v>41</v>
      </c>
    </row>
    <row r="876" spans="1:4" ht="13.8" x14ac:dyDescent="0.25">
      <c r="A876" s="16" t="s">
        <v>14</v>
      </c>
      <c r="B876" s="15"/>
      <c r="C876" s="19"/>
    </row>
    <row r="877" spans="1:4" ht="13.8" x14ac:dyDescent="0.25">
      <c r="A877" s="14" t="s">
        <v>13</v>
      </c>
      <c r="B877" s="13"/>
      <c r="C877" s="19"/>
    </row>
    <row r="878" spans="1:4" x14ac:dyDescent="0.25">
      <c r="A878" s="6"/>
      <c r="B878" s="5"/>
      <c r="C878" s="19"/>
    </row>
    <row r="879" spans="1:4" x14ac:dyDescent="0.25">
      <c r="A879" s="12" t="s">
        <v>12</v>
      </c>
      <c r="B879" s="11" t="str">
        <f>+'[1]FORM XIII'!$F$6</f>
        <v>SORYE CONTRUCTION</v>
      </c>
      <c r="C879" s="19"/>
    </row>
    <row r="880" spans="1:4" x14ac:dyDescent="0.25">
      <c r="A880" s="7" t="s">
        <v>11</v>
      </c>
      <c r="B880" s="7" t="str">
        <f>VLOOKUP(D875,'[1] Wages Sheet FORM XVII'!A$11:U958,3,0)</f>
        <v>SAGAR KASHYAP</v>
      </c>
      <c r="C880" s="19"/>
    </row>
    <row r="881" spans="1:3" x14ac:dyDescent="0.25">
      <c r="A881" s="7" t="s">
        <v>10</v>
      </c>
      <c r="B881" s="10" t="s">
        <v>9</v>
      </c>
      <c r="C881" s="19"/>
    </row>
    <row r="882" spans="1:3" x14ac:dyDescent="0.25">
      <c r="A882" s="7" t="s">
        <v>8</v>
      </c>
      <c r="B882" s="9">
        <v>45870</v>
      </c>
      <c r="C882" s="19"/>
    </row>
    <row r="883" spans="1:3" x14ac:dyDescent="0.25">
      <c r="A883" s="7" t="s">
        <v>7</v>
      </c>
      <c r="B883" s="8">
        <f>VLOOKUP(D875,'[1] Wages Sheet FORM XVII'!A$11:U958,11,0)</f>
        <v>20</v>
      </c>
      <c r="C883" s="19"/>
    </row>
    <row r="884" spans="1:3" x14ac:dyDescent="0.25">
      <c r="A884" s="7" t="s">
        <v>6</v>
      </c>
      <c r="B884" s="7">
        <v>0</v>
      </c>
      <c r="C884" s="19"/>
    </row>
    <row r="885" spans="1:3" x14ac:dyDescent="0.25">
      <c r="A885" s="7" t="s">
        <v>5</v>
      </c>
      <c r="B885" s="7">
        <f>VLOOKUP(D875,'[1] Wages Sheet FORM XVII'!A$11:U958,12,0)</f>
        <v>480.77</v>
      </c>
      <c r="C885" s="19"/>
    </row>
    <row r="886" spans="1:3" x14ac:dyDescent="0.25">
      <c r="A886" s="7" t="s">
        <v>4</v>
      </c>
      <c r="B886" s="7" t="e">
        <f>VLOOKUP(D875,'[1] Wages Sheet FORM XVII'!A$11:U$34,15,0)</f>
        <v>#N/A</v>
      </c>
      <c r="C886" s="19"/>
    </row>
    <row r="887" spans="1:3" x14ac:dyDescent="0.25">
      <c r="A887" s="7" t="s">
        <v>3</v>
      </c>
      <c r="B887" s="8">
        <f>VLOOKUP(D875,'[1] Wages Sheet FORM XVII'!A$11:U958,17,0)</f>
        <v>1154</v>
      </c>
      <c r="C887" s="19"/>
    </row>
    <row r="888" spans="1:3" x14ac:dyDescent="0.25">
      <c r="A888" s="7" t="s">
        <v>2</v>
      </c>
      <c r="B888" s="8">
        <f>VLOOKUP(D875,'[1] Wages Sheet FORM XVII'!A$11:U958,20,0)</f>
        <v>1276</v>
      </c>
      <c r="C888" s="19"/>
    </row>
    <row r="889" spans="1:3" x14ac:dyDescent="0.25">
      <c r="A889" s="7" t="s">
        <v>1</v>
      </c>
      <c r="B889" s="8">
        <f>VLOOKUP(D875,'[1] Wages Sheet FORM XVII'!A$11:U958,21,0)</f>
        <v>8339.4</v>
      </c>
      <c r="C889" s="19"/>
    </row>
    <row r="890" spans="1:3" x14ac:dyDescent="0.25">
      <c r="A890" s="7"/>
      <c r="B890" s="7"/>
      <c r="C890" s="19"/>
    </row>
    <row r="891" spans="1:3" x14ac:dyDescent="0.25">
      <c r="A891" s="6"/>
      <c r="B891" s="5" t="s">
        <v>0</v>
      </c>
      <c r="C891" s="19"/>
    </row>
    <row r="892" spans="1:3" x14ac:dyDescent="0.25">
      <c r="A892" s="4"/>
      <c r="B892" s="3"/>
      <c r="C892" s="19"/>
    </row>
    <row r="893" spans="1:3" x14ac:dyDescent="0.25">
      <c r="C893" s="19"/>
    </row>
    <row r="897" spans="1:4" ht="13.8" x14ac:dyDescent="0.25">
      <c r="A897" s="18" t="s">
        <v>15</v>
      </c>
      <c r="B897" s="17"/>
      <c r="D897" s="1">
        <f>+D875+1</f>
        <v>42</v>
      </c>
    </row>
    <row r="898" spans="1:4" ht="13.8" x14ac:dyDescent="0.25">
      <c r="A898" s="16" t="s">
        <v>14</v>
      </c>
      <c r="B898" s="15"/>
    </row>
    <row r="899" spans="1:4" ht="13.8" x14ac:dyDescent="0.25">
      <c r="A899" s="14" t="s">
        <v>13</v>
      </c>
      <c r="B899" s="13"/>
    </row>
    <row r="900" spans="1:4" x14ac:dyDescent="0.25">
      <c r="A900" s="6"/>
      <c r="B900" s="5"/>
    </row>
    <row r="901" spans="1:4" x14ac:dyDescent="0.25">
      <c r="A901" s="12" t="s">
        <v>12</v>
      </c>
      <c r="B901" s="11" t="str">
        <f>+'[1]FORM XIII'!$F$6</f>
        <v>SORYE CONTRUCTION</v>
      </c>
    </row>
    <row r="902" spans="1:4" x14ac:dyDescent="0.25">
      <c r="A902" s="7" t="s">
        <v>11</v>
      </c>
      <c r="B902" s="7" t="str">
        <f>VLOOKUP(D897,'[1] Wages Sheet FORM XVII'!A$11:U980,3,0)</f>
        <v>ABHISHEK</v>
      </c>
    </row>
    <row r="903" spans="1:4" x14ac:dyDescent="0.25">
      <c r="A903" s="7" t="s">
        <v>10</v>
      </c>
      <c r="B903" s="10" t="s">
        <v>9</v>
      </c>
    </row>
    <row r="904" spans="1:4" x14ac:dyDescent="0.25">
      <c r="A904" s="7" t="s">
        <v>8</v>
      </c>
      <c r="B904" s="9">
        <v>45870</v>
      </c>
    </row>
    <row r="905" spans="1:4" x14ac:dyDescent="0.25">
      <c r="A905" s="7" t="s">
        <v>7</v>
      </c>
      <c r="B905" s="8">
        <f>VLOOKUP(D897,'[1] Wages Sheet FORM XVII'!A$11:U980,11,0)</f>
        <v>18</v>
      </c>
    </row>
    <row r="906" spans="1:4" x14ac:dyDescent="0.25">
      <c r="A906" s="7" t="s">
        <v>6</v>
      </c>
      <c r="B906" s="7">
        <v>0</v>
      </c>
    </row>
    <row r="907" spans="1:4" x14ac:dyDescent="0.25">
      <c r="A907" s="7" t="s">
        <v>5</v>
      </c>
      <c r="B907" s="7">
        <f>VLOOKUP(D897,'[1] Wages Sheet FORM XVII'!A$11:U980,12,0)</f>
        <v>480.77</v>
      </c>
    </row>
    <row r="908" spans="1:4" x14ac:dyDescent="0.25">
      <c r="A908" s="7" t="s">
        <v>4</v>
      </c>
      <c r="B908" s="7" t="e">
        <f>VLOOKUP(D897,'[1] Wages Sheet FORM XVII'!A$11:U$34,15,0)</f>
        <v>#N/A</v>
      </c>
    </row>
    <row r="909" spans="1:4" x14ac:dyDescent="0.25">
      <c r="A909" s="7" t="s">
        <v>3</v>
      </c>
      <c r="B909" s="8">
        <f>VLOOKUP(D897,'[1] Wages Sheet FORM XVII'!A$11:U980,17,0)</f>
        <v>1038</v>
      </c>
    </row>
    <row r="910" spans="1:4" x14ac:dyDescent="0.25">
      <c r="A910" s="7" t="s">
        <v>2</v>
      </c>
      <c r="B910" s="8">
        <f>VLOOKUP(D897,'[1] Wages Sheet FORM XVII'!A$11:U980,20,0)</f>
        <v>1112</v>
      </c>
    </row>
    <row r="911" spans="1:4" x14ac:dyDescent="0.25">
      <c r="A911" s="7" t="s">
        <v>1</v>
      </c>
      <c r="B911" s="8">
        <f>VLOOKUP(D897,'[1] Wages Sheet FORM XVII'!A$11:U980,21,0)</f>
        <v>8803.86</v>
      </c>
    </row>
    <row r="912" spans="1:4" x14ac:dyDescent="0.25">
      <c r="A912" s="7"/>
      <c r="B912" s="7"/>
    </row>
    <row r="913" spans="1:4" x14ac:dyDescent="0.25">
      <c r="A913" s="6"/>
      <c r="B913" s="5" t="s">
        <v>0</v>
      </c>
    </row>
    <row r="914" spans="1:4" x14ac:dyDescent="0.25">
      <c r="A914" s="4"/>
      <c r="B914" s="3"/>
    </row>
    <row r="919" spans="1:4" ht="13.8" x14ac:dyDescent="0.25">
      <c r="A919" s="18" t="s">
        <v>15</v>
      </c>
      <c r="B919" s="17"/>
      <c r="D919" s="1">
        <f>+D897+1</f>
        <v>43</v>
      </c>
    </row>
    <row r="920" spans="1:4" ht="13.8" x14ac:dyDescent="0.25">
      <c r="A920" s="16" t="s">
        <v>14</v>
      </c>
      <c r="B920" s="15"/>
    </row>
    <row r="921" spans="1:4" ht="13.8" x14ac:dyDescent="0.25">
      <c r="A921" s="14" t="s">
        <v>13</v>
      </c>
      <c r="B921" s="13"/>
    </row>
    <row r="922" spans="1:4" x14ac:dyDescent="0.25">
      <c r="A922" s="6"/>
      <c r="B922" s="5"/>
    </row>
    <row r="923" spans="1:4" x14ac:dyDescent="0.25">
      <c r="A923" s="12" t="s">
        <v>12</v>
      </c>
      <c r="B923" s="11" t="str">
        <f>+'[1]FORM XIII'!$F$6</f>
        <v>SORYE CONTRUCTION</v>
      </c>
    </row>
    <row r="924" spans="1:4" x14ac:dyDescent="0.25">
      <c r="A924" s="7" t="s">
        <v>11</v>
      </c>
      <c r="B924" s="7" t="str">
        <f>VLOOKUP(D919,'[1] Wages Sheet FORM XVII'!A$11:U1002,3,0)</f>
        <v>SHAHAVAN</v>
      </c>
    </row>
    <row r="925" spans="1:4" x14ac:dyDescent="0.25">
      <c r="A925" s="7" t="s">
        <v>10</v>
      </c>
      <c r="B925" s="10" t="s">
        <v>9</v>
      </c>
    </row>
    <row r="926" spans="1:4" x14ac:dyDescent="0.25">
      <c r="A926" s="7" t="s">
        <v>8</v>
      </c>
      <c r="B926" s="9">
        <v>45870</v>
      </c>
    </row>
    <row r="927" spans="1:4" x14ac:dyDescent="0.25">
      <c r="A927" s="7" t="s">
        <v>7</v>
      </c>
      <c r="B927" s="8">
        <f>VLOOKUP(D919,'[1] Wages Sheet FORM XVII'!A$11:U1002,11,0)</f>
        <v>14</v>
      </c>
    </row>
    <row r="928" spans="1:4" x14ac:dyDescent="0.25">
      <c r="A928" s="7" t="s">
        <v>6</v>
      </c>
      <c r="B928" s="7">
        <v>0</v>
      </c>
    </row>
    <row r="929" spans="1:4" x14ac:dyDescent="0.25">
      <c r="A929" s="7" t="s">
        <v>5</v>
      </c>
      <c r="B929" s="7">
        <f>VLOOKUP(D919,'[1] Wages Sheet FORM XVII'!A$11:U1002,12,0)</f>
        <v>480.77</v>
      </c>
    </row>
    <row r="930" spans="1:4" x14ac:dyDescent="0.25">
      <c r="A930" s="7" t="s">
        <v>4</v>
      </c>
      <c r="B930" s="7" t="e">
        <f>VLOOKUP(D919,'[1] Wages Sheet FORM XVII'!A$11:U$34,15,0)</f>
        <v>#N/A</v>
      </c>
    </row>
    <row r="931" spans="1:4" x14ac:dyDescent="0.25">
      <c r="A931" s="7" t="s">
        <v>3</v>
      </c>
      <c r="B931" s="8">
        <f>VLOOKUP(D919,'[1] Wages Sheet FORM XVII'!A$11:U1002,17,0)</f>
        <v>808</v>
      </c>
    </row>
    <row r="932" spans="1:4" x14ac:dyDescent="0.25">
      <c r="A932" s="7" t="s">
        <v>2</v>
      </c>
      <c r="B932" s="8">
        <f>VLOOKUP(D919,'[1] Wages Sheet FORM XVII'!A$11:U1002,20,0)</f>
        <v>862</v>
      </c>
    </row>
    <row r="933" spans="1:4" x14ac:dyDescent="0.25">
      <c r="A933" s="7" t="s">
        <v>1</v>
      </c>
      <c r="B933" s="8">
        <f>VLOOKUP(D919,'[1] Wages Sheet FORM XVII'!A$11:U1002,21,0)</f>
        <v>6349.78</v>
      </c>
    </row>
    <row r="934" spans="1:4" x14ac:dyDescent="0.25">
      <c r="A934" s="7"/>
      <c r="B934" s="7"/>
    </row>
    <row r="935" spans="1:4" x14ac:dyDescent="0.25">
      <c r="A935" s="6"/>
      <c r="B935" s="5" t="s">
        <v>0</v>
      </c>
    </row>
    <row r="936" spans="1:4" x14ac:dyDescent="0.25">
      <c r="A936" s="4"/>
      <c r="B936" s="3"/>
    </row>
    <row r="941" spans="1:4" ht="13.8" x14ac:dyDescent="0.25">
      <c r="A941" s="18" t="s">
        <v>15</v>
      </c>
      <c r="B941" s="17"/>
      <c r="D941" s="1">
        <f>+D919+1</f>
        <v>44</v>
      </c>
    </row>
    <row r="942" spans="1:4" ht="13.8" x14ac:dyDescent="0.25">
      <c r="A942" s="16" t="s">
        <v>14</v>
      </c>
      <c r="B942" s="15"/>
    </row>
    <row r="943" spans="1:4" ht="13.8" x14ac:dyDescent="0.25">
      <c r="A943" s="14" t="s">
        <v>13</v>
      </c>
      <c r="B943" s="13"/>
    </row>
    <row r="944" spans="1:4" x14ac:dyDescent="0.25">
      <c r="A944" s="6"/>
      <c r="B944" s="5"/>
    </row>
    <row r="945" spans="1:2" x14ac:dyDescent="0.25">
      <c r="A945" s="12" t="s">
        <v>12</v>
      </c>
      <c r="B945" s="11" t="str">
        <f>+'[1]FORM XIII'!$F$6</f>
        <v>SORYE CONTRUCTION</v>
      </c>
    </row>
    <row r="946" spans="1:2" x14ac:dyDescent="0.25">
      <c r="A946" s="7" t="s">
        <v>11</v>
      </c>
      <c r="B946" s="7" t="str">
        <f>VLOOKUP(D941,'[1] Wages Sheet FORM XVII'!A$11:U1024,3,0)</f>
        <v>VISHAL</v>
      </c>
    </row>
    <row r="947" spans="1:2" x14ac:dyDescent="0.25">
      <c r="A947" s="7" t="s">
        <v>10</v>
      </c>
      <c r="B947" s="10" t="s">
        <v>9</v>
      </c>
    </row>
    <row r="948" spans="1:2" x14ac:dyDescent="0.25">
      <c r="A948" s="7" t="s">
        <v>8</v>
      </c>
      <c r="B948" s="9">
        <v>45870</v>
      </c>
    </row>
    <row r="949" spans="1:2" x14ac:dyDescent="0.25">
      <c r="A949" s="7" t="s">
        <v>7</v>
      </c>
      <c r="B949" s="8">
        <f>VLOOKUP(D941,'[1] Wages Sheet FORM XVII'!A$11:U1024,11,0)</f>
        <v>14.625</v>
      </c>
    </row>
    <row r="950" spans="1:2" x14ac:dyDescent="0.25">
      <c r="A950" s="7" t="s">
        <v>6</v>
      </c>
      <c r="B950" s="7">
        <v>0</v>
      </c>
    </row>
    <row r="951" spans="1:2" x14ac:dyDescent="0.25">
      <c r="A951" s="7" t="s">
        <v>5</v>
      </c>
      <c r="B951" s="7">
        <f>VLOOKUP(D941,'[1] Wages Sheet FORM XVII'!A$11:U1024,12,0)</f>
        <v>480.77</v>
      </c>
    </row>
    <row r="952" spans="1:2" x14ac:dyDescent="0.25">
      <c r="A952" s="7" t="s">
        <v>4</v>
      </c>
      <c r="B952" s="7" t="e">
        <f>VLOOKUP(D941,'[1] Wages Sheet FORM XVII'!A$11:U$34,15,0)</f>
        <v>#N/A</v>
      </c>
    </row>
    <row r="953" spans="1:2" x14ac:dyDescent="0.25">
      <c r="A953" s="7" t="s">
        <v>3</v>
      </c>
      <c r="B953" s="8">
        <f>VLOOKUP(D941,'[1] Wages Sheet FORM XVII'!A$11:U1024,17,0)</f>
        <v>844</v>
      </c>
    </row>
    <row r="954" spans="1:2" x14ac:dyDescent="0.25">
      <c r="A954" s="7" t="s">
        <v>2</v>
      </c>
      <c r="B954" s="8">
        <f>VLOOKUP(D941,'[1] Wages Sheet FORM XVII'!A$11:U1024,20,0)</f>
        <v>947</v>
      </c>
    </row>
    <row r="955" spans="1:2" x14ac:dyDescent="0.25">
      <c r="A955" s="7" t="s">
        <v>1</v>
      </c>
      <c r="B955" s="8">
        <f>VLOOKUP(D941,'[1] Wages Sheet FORM XVII'!A$11:U1024,21,0)</f>
        <v>6084.2612499999996</v>
      </c>
    </row>
    <row r="956" spans="1:2" x14ac:dyDescent="0.25">
      <c r="A956" s="7"/>
      <c r="B956" s="7"/>
    </row>
    <row r="957" spans="1:2" x14ac:dyDescent="0.25">
      <c r="A957" s="6"/>
      <c r="B957" s="5" t="s">
        <v>0</v>
      </c>
    </row>
    <row r="958" spans="1:2" x14ac:dyDescent="0.25">
      <c r="A958" s="4"/>
      <c r="B958" s="3"/>
    </row>
    <row r="963" spans="1:4" ht="13.8" x14ac:dyDescent="0.25">
      <c r="A963" s="18" t="s">
        <v>15</v>
      </c>
      <c r="B963" s="17"/>
      <c r="C963" s="19"/>
      <c r="D963" s="1">
        <f>+D941+1</f>
        <v>45</v>
      </c>
    </row>
    <row r="964" spans="1:4" ht="13.8" x14ac:dyDescent="0.25">
      <c r="A964" s="16" t="s">
        <v>14</v>
      </c>
      <c r="B964" s="15"/>
      <c r="C964" s="19"/>
    </row>
    <row r="965" spans="1:4" ht="13.8" x14ac:dyDescent="0.25">
      <c r="A965" s="14" t="s">
        <v>13</v>
      </c>
      <c r="B965" s="13"/>
      <c r="C965" s="19"/>
    </row>
    <row r="966" spans="1:4" x14ac:dyDescent="0.25">
      <c r="A966" s="6"/>
      <c r="B966" s="5"/>
      <c r="C966" s="19"/>
    </row>
    <row r="967" spans="1:4" x14ac:dyDescent="0.25">
      <c r="A967" s="12" t="s">
        <v>12</v>
      </c>
      <c r="B967" s="11" t="str">
        <f>+'[1]FORM XIII'!$F$6</f>
        <v>SORYE CONTRUCTION</v>
      </c>
      <c r="C967" s="19"/>
    </row>
    <row r="968" spans="1:4" x14ac:dyDescent="0.25">
      <c r="A968" s="7" t="s">
        <v>11</v>
      </c>
      <c r="B968" s="7" t="str">
        <f>VLOOKUP(D963,'[1] Wages Sheet FORM XVII'!A$11:U1046,3,0)</f>
        <v>YASHPAL</v>
      </c>
      <c r="C968" s="19"/>
    </row>
    <row r="969" spans="1:4" x14ac:dyDescent="0.25">
      <c r="A969" s="7" t="s">
        <v>10</v>
      </c>
      <c r="B969" s="10" t="s">
        <v>9</v>
      </c>
      <c r="C969" s="19"/>
    </row>
    <row r="970" spans="1:4" x14ac:dyDescent="0.25">
      <c r="A970" s="7" t="s">
        <v>8</v>
      </c>
      <c r="B970" s="9">
        <v>45870</v>
      </c>
      <c r="C970" s="19"/>
    </row>
    <row r="971" spans="1:4" x14ac:dyDescent="0.25">
      <c r="A971" s="7" t="s">
        <v>7</v>
      </c>
      <c r="B971" s="8">
        <f>VLOOKUP(D963,'[1] Wages Sheet FORM XVII'!A$11:U1046,11,0)</f>
        <v>17</v>
      </c>
      <c r="C971" s="19"/>
    </row>
    <row r="972" spans="1:4" x14ac:dyDescent="0.25">
      <c r="A972" s="7" t="s">
        <v>6</v>
      </c>
      <c r="B972" s="7">
        <v>0</v>
      </c>
      <c r="C972" s="19"/>
    </row>
    <row r="973" spans="1:4" x14ac:dyDescent="0.25">
      <c r="A973" s="7" t="s">
        <v>5</v>
      </c>
      <c r="B973" s="7">
        <f>VLOOKUP(D963,'[1] Wages Sheet FORM XVII'!A$11:U1046,12,0)</f>
        <v>480.77</v>
      </c>
      <c r="C973" s="19"/>
    </row>
    <row r="974" spans="1:4" x14ac:dyDescent="0.25">
      <c r="A974" s="7" t="s">
        <v>4</v>
      </c>
      <c r="B974" s="7" t="e">
        <f>VLOOKUP(D963,'[1] Wages Sheet FORM XVII'!A$11:U$34,15,0)</f>
        <v>#N/A</v>
      </c>
      <c r="C974" s="19"/>
    </row>
    <row r="975" spans="1:4" x14ac:dyDescent="0.25">
      <c r="A975" s="7" t="s">
        <v>3</v>
      </c>
      <c r="B975" s="8">
        <f>VLOOKUP(D963,'[1] Wages Sheet FORM XVII'!A$11:U1046,17,0)</f>
        <v>981</v>
      </c>
      <c r="C975" s="19"/>
    </row>
    <row r="976" spans="1:4" x14ac:dyDescent="0.25">
      <c r="A976" s="7" t="s">
        <v>2</v>
      </c>
      <c r="B976" s="8">
        <f>VLOOKUP(D963,'[1] Wages Sheet FORM XVII'!A$11:U1046,20,0)</f>
        <v>1230</v>
      </c>
      <c r="C976" s="19"/>
    </row>
    <row r="977" spans="1:4" x14ac:dyDescent="0.25">
      <c r="A977" s="7" t="s">
        <v>1</v>
      </c>
      <c r="B977" s="8">
        <f>VLOOKUP(D963,'[1] Wages Sheet FORM XVII'!A$11:U1046,21,0)</f>
        <v>7183.09</v>
      </c>
      <c r="C977" s="19"/>
    </row>
    <row r="978" spans="1:4" x14ac:dyDescent="0.25">
      <c r="A978" s="7"/>
      <c r="B978" s="7"/>
      <c r="C978" s="19"/>
    </row>
    <row r="979" spans="1:4" x14ac:dyDescent="0.25">
      <c r="A979" s="6"/>
      <c r="B979" s="5" t="s">
        <v>0</v>
      </c>
      <c r="C979" s="19"/>
    </row>
    <row r="980" spans="1:4" x14ac:dyDescent="0.25">
      <c r="A980" s="4"/>
      <c r="B980" s="3"/>
      <c r="C980" s="19"/>
    </row>
    <row r="981" spans="1:4" x14ac:dyDescent="0.25">
      <c r="C981" s="19"/>
    </row>
    <row r="985" spans="1:4" ht="13.8" x14ac:dyDescent="0.25">
      <c r="A985" s="18" t="s">
        <v>15</v>
      </c>
      <c r="B985" s="17"/>
      <c r="D985" s="1">
        <f>+D963+1</f>
        <v>46</v>
      </c>
    </row>
    <row r="986" spans="1:4" ht="13.8" x14ac:dyDescent="0.25">
      <c r="A986" s="16" t="s">
        <v>14</v>
      </c>
      <c r="B986" s="15"/>
    </row>
    <row r="987" spans="1:4" ht="13.8" x14ac:dyDescent="0.25">
      <c r="A987" s="14" t="s">
        <v>13</v>
      </c>
      <c r="B987" s="13"/>
    </row>
    <row r="988" spans="1:4" x14ac:dyDescent="0.25">
      <c r="A988" s="6"/>
      <c r="B988" s="5"/>
    </row>
    <row r="989" spans="1:4" x14ac:dyDescent="0.25">
      <c r="A989" s="12" t="s">
        <v>12</v>
      </c>
      <c r="B989" s="11" t="str">
        <f>+'[1]FORM XIII'!$F$6</f>
        <v>SORYE CONTRUCTION</v>
      </c>
    </row>
    <row r="990" spans="1:4" x14ac:dyDescent="0.25">
      <c r="A990" s="7" t="s">
        <v>11</v>
      </c>
      <c r="B990" s="7" t="str">
        <f>VLOOKUP(D985,'[1] Wages Sheet FORM XVII'!A$11:U1068,3,0)</f>
        <v>MOHAMMAD AHASAN</v>
      </c>
    </row>
    <row r="991" spans="1:4" x14ac:dyDescent="0.25">
      <c r="A991" s="7" t="s">
        <v>10</v>
      </c>
      <c r="B991" s="10" t="s">
        <v>9</v>
      </c>
    </row>
    <row r="992" spans="1:4" x14ac:dyDescent="0.25">
      <c r="A992" s="7" t="s">
        <v>8</v>
      </c>
      <c r="B992" s="9">
        <v>45870</v>
      </c>
    </row>
    <row r="993" spans="1:4" x14ac:dyDescent="0.25">
      <c r="A993" s="7" t="s">
        <v>7</v>
      </c>
      <c r="B993" s="8">
        <f>VLOOKUP(D985,'[1] Wages Sheet FORM XVII'!A$11:U1068,11,0)</f>
        <v>15</v>
      </c>
    </row>
    <row r="994" spans="1:4" x14ac:dyDescent="0.25">
      <c r="A994" s="7" t="s">
        <v>6</v>
      </c>
      <c r="B994" s="7">
        <v>0</v>
      </c>
    </row>
    <row r="995" spans="1:4" x14ac:dyDescent="0.25">
      <c r="A995" s="7" t="s">
        <v>5</v>
      </c>
      <c r="B995" s="7">
        <f>VLOOKUP(D985,'[1] Wages Sheet FORM XVII'!A$11:U1068,12,0)</f>
        <v>480.77</v>
      </c>
    </row>
    <row r="996" spans="1:4" x14ac:dyDescent="0.25">
      <c r="A996" s="7" t="s">
        <v>4</v>
      </c>
      <c r="B996" s="7" t="e">
        <f>VLOOKUP(D985,'[1] Wages Sheet FORM XVII'!A$11:U$34,15,0)</f>
        <v>#N/A</v>
      </c>
    </row>
    <row r="997" spans="1:4" x14ac:dyDescent="0.25">
      <c r="A997" s="7" t="s">
        <v>3</v>
      </c>
      <c r="B997" s="8">
        <f>VLOOKUP(D985,'[1] Wages Sheet FORM XVII'!A$11:U1068,17,0)</f>
        <v>865</v>
      </c>
    </row>
    <row r="998" spans="1:4" x14ac:dyDescent="0.25">
      <c r="A998" s="7" t="s">
        <v>2</v>
      </c>
      <c r="B998" s="8">
        <f>VLOOKUP(D985,'[1] Wages Sheet FORM XVII'!A$11:U1068,20,0)</f>
        <v>973</v>
      </c>
    </row>
    <row r="999" spans="1:4" x14ac:dyDescent="0.25">
      <c r="A999" s="7" t="s">
        <v>1</v>
      </c>
      <c r="B999" s="8">
        <f>VLOOKUP(D985,'[1] Wages Sheet FORM XVII'!A$11:U1068,21,0)</f>
        <v>6719.5499999999993</v>
      </c>
    </row>
    <row r="1000" spans="1:4" x14ac:dyDescent="0.25">
      <c r="A1000" s="7"/>
      <c r="B1000" s="7"/>
    </row>
    <row r="1001" spans="1:4" x14ac:dyDescent="0.25">
      <c r="A1001" s="6"/>
      <c r="B1001" s="5" t="s">
        <v>0</v>
      </c>
    </row>
    <row r="1002" spans="1:4" x14ac:dyDescent="0.25">
      <c r="A1002" s="4"/>
      <c r="B1002" s="3"/>
    </row>
    <row r="1007" spans="1:4" ht="13.8" x14ac:dyDescent="0.25">
      <c r="A1007" s="18" t="s">
        <v>15</v>
      </c>
      <c r="B1007" s="17"/>
      <c r="D1007" s="1">
        <f>+D985+1</f>
        <v>47</v>
      </c>
    </row>
    <row r="1008" spans="1:4" ht="13.8" x14ac:dyDescent="0.25">
      <c r="A1008" s="16" t="s">
        <v>14</v>
      </c>
      <c r="B1008" s="15"/>
    </row>
    <row r="1009" spans="1:2" ht="13.8" x14ac:dyDescent="0.25">
      <c r="A1009" s="14" t="s">
        <v>13</v>
      </c>
      <c r="B1009" s="13"/>
    </row>
    <row r="1010" spans="1:2" x14ac:dyDescent="0.25">
      <c r="A1010" s="6"/>
      <c r="B1010" s="5"/>
    </row>
    <row r="1011" spans="1:2" x14ac:dyDescent="0.25">
      <c r="A1011" s="12" t="s">
        <v>12</v>
      </c>
      <c r="B1011" s="11" t="str">
        <f>+'[1]FORM XIII'!$F$6</f>
        <v>SORYE CONTRUCTION</v>
      </c>
    </row>
    <row r="1012" spans="1:2" x14ac:dyDescent="0.25">
      <c r="A1012" s="7" t="s">
        <v>11</v>
      </c>
      <c r="B1012" s="7" t="str">
        <f>VLOOKUP(D1007,'[1] Wages Sheet FORM XVII'!A$11:U1090,3,0)</f>
        <v>SACHIN</v>
      </c>
    </row>
    <row r="1013" spans="1:2" x14ac:dyDescent="0.25">
      <c r="A1013" s="7" t="s">
        <v>10</v>
      </c>
      <c r="B1013" s="10" t="s">
        <v>9</v>
      </c>
    </row>
    <row r="1014" spans="1:2" x14ac:dyDescent="0.25">
      <c r="A1014" s="7" t="s">
        <v>8</v>
      </c>
      <c r="B1014" s="9">
        <v>45870</v>
      </c>
    </row>
    <row r="1015" spans="1:2" x14ac:dyDescent="0.25">
      <c r="A1015" s="7" t="s">
        <v>7</v>
      </c>
      <c r="B1015" s="8">
        <f>VLOOKUP(D1007,'[1] Wages Sheet FORM XVII'!A$11:U1090,11,0)</f>
        <v>25</v>
      </c>
    </row>
    <row r="1016" spans="1:2" x14ac:dyDescent="0.25">
      <c r="A1016" s="7" t="s">
        <v>6</v>
      </c>
      <c r="B1016" s="7">
        <v>0</v>
      </c>
    </row>
    <row r="1017" spans="1:2" x14ac:dyDescent="0.25">
      <c r="A1017" s="7" t="s">
        <v>5</v>
      </c>
      <c r="B1017" s="7">
        <f>VLOOKUP(D1007,'[1] Wages Sheet FORM XVII'!A$11:U1090,12,0)</f>
        <v>480.77</v>
      </c>
    </row>
    <row r="1018" spans="1:2" x14ac:dyDescent="0.25">
      <c r="A1018" s="7" t="s">
        <v>4</v>
      </c>
      <c r="B1018" s="7" t="e">
        <f>VLOOKUP(D1007,'[1] Wages Sheet FORM XVII'!A$11:U$34,15,0)</f>
        <v>#N/A</v>
      </c>
    </row>
    <row r="1019" spans="1:2" x14ac:dyDescent="0.25">
      <c r="A1019" s="7" t="s">
        <v>3</v>
      </c>
      <c r="B1019" s="8">
        <f>VLOOKUP(D1007,'[1] Wages Sheet FORM XVII'!A$11:U1090,17,0)</f>
        <v>1442</v>
      </c>
    </row>
    <row r="1020" spans="1:2" x14ac:dyDescent="0.25">
      <c r="A1020" s="7" t="s">
        <v>2</v>
      </c>
      <c r="B1020" s="8">
        <f>VLOOKUP(D1007,'[1] Wages Sheet FORM XVII'!A$11:U1090,20,0)</f>
        <v>1632</v>
      </c>
    </row>
    <row r="1021" spans="1:2" x14ac:dyDescent="0.25">
      <c r="A1021" s="7" t="s">
        <v>1</v>
      </c>
      <c r="B1021" s="8">
        <f>VLOOKUP(D1007,'[1] Wages Sheet FORM XVII'!A$11:U1090,21,0)</f>
        <v>10387.25</v>
      </c>
    </row>
    <row r="1022" spans="1:2" x14ac:dyDescent="0.25">
      <c r="A1022" s="7"/>
      <c r="B1022" s="7"/>
    </row>
    <row r="1023" spans="1:2" x14ac:dyDescent="0.25">
      <c r="A1023" s="6"/>
      <c r="B1023" s="5" t="s">
        <v>0</v>
      </c>
    </row>
    <row r="1024" spans="1:2" x14ac:dyDescent="0.25">
      <c r="A1024" s="4"/>
      <c r="B1024" s="3"/>
    </row>
    <row r="1029" spans="1:4" ht="13.8" x14ac:dyDescent="0.25">
      <c r="A1029" s="18" t="s">
        <v>15</v>
      </c>
      <c r="B1029" s="17"/>
      <c r="D1029" s="1">
        <f>+D1007+1</f>
        <v>48</v>
      </c>
    </row>
    <row r="1030" spans="1:4" ht="13.8" x14ac:dyDescent="0.25">
      <c r="A1030" s="16" t="s">
        <v>14</v>
      </c>
      <c r="B1030" s="15"/>
    </row>
    <row r="1031" spans="1:4" ht="13.8" x14ac:dyDescent="0.25">
      <c r="A1031" s="14" t="s">
        <v>13</v>
      </c>
      <c r="B1031" s="13"/>
    </row>
    <row r="1032" spans="1:4" x14ac:dyDescent="0.25">
      <c r="A1032" s="6"/>
      <c r="B1032" s="5"/>
    </row>
    <row r="1033" spans="1:4" x14ac:dyDescent="0.25">
      <c r="A1033" s="12" t="s">
        <v>12</v>
      </c>
      <c r="B1033" s="11" t="str">
        <f>+'[1]FORM XIII'!$F$6</f>
        <v>SORYE CONTRUCTION</v>
      </c>
    </row>
    <row r="1034" spans="1:4" x14ac:dyDescent="0.25">
      <c r="A1034" s="7" t="s">
        <v>11</v>
      </c>
      <c r="B1034" s="7" t="str">
        <f>VLOOKUP(D1029,'[1] Wages Sheet FORM XVII'!A$11:U1112,3,0)</f>
        <v>HUKUM SINGH</v>
      </c>
    </row>
    <row r="1035" spans="1:4" x14ac:dyDescent="0.25">
      <c r="A1035" s="7" t="s">
        <v>10</v>
      </c>
      <c r="B1035" s="10" t="s">
        <v>9</v>
      </c>
    </row>
    <row r="1036" spans="1:4" x14ac:dyDescent="0.25">
      <c r="A1036" s="7" t="s">
        <v>8</v>
      </c>
      <c r="B1036" s="9">
        <v>45870</v>
      </c>
    </row>
    <row r="1037" spans="1:4" x14ac:dyDescent="0.25">
      <c r="A1037" s="7" t="s">
        <v>7</v>
      </c>
      <c r="B1037" s="8">
        <f>VLOOKUP(D1029,'[1] Wages Sheet FORM XVII'!A$11:U1112,11,0)</f>
        <v>10</v>
      </c>
    </row>
    <row r="1038" spans="1:4" x14ac:dyDescent="0.25">
      <c r="A1038" s="7" t="s">
        <v>6</v>
      </c>
      <c r="B1038" s="7">
        <v>0</v>
      </c>
    </row>
    <row r="1039" spans="1:4" x14ac:dyDescent="0.25">
      <c r="A1039" s="7" t="s">
        <v>5</v>
      </c>
      <c r="B1039" s="7">
        <f>VLOOKUP(D1029,'[1] Wages Sheet FORM XVII'!A$11:U1112,12,0)</f>
        <v>480.77</v>
      </c>
    </row>
    <row r="1040" spans="1:4" x14ac:dyDescent="0.25">
      <c r="A1040" s="7" t="s">
        <v>4</v>
      </c>
      <c r="B1040" s="7" t="e">
        <f>VLOOKUP(D1029,'[1] Wages Sheet FORM XVII'!A$11:U$34,15,0)</f>
        <v>#N/A</v>
      </c>
    </row>
    <row r="1041" spans="1:4" x14ac:dyDescent="0.25">
      <c r="A1041" s="7" t="s">
        <v>3</v>
      </c>
      <c r="B1041" s="8">
        <f>VLOOKUP(D1029,'[1] Wages Sheet FORM XVII'!A$11:U1112,17,0)</f>
        <v>577</v>
      </c>
    </row>
    <row r="1042" spans="1:4" x14ac:dyDescent="0.25">
      <c r="A1042" s="7" t="s">
        <v>2</v>
      </c>
      <c r="B1042" s="8">
        <f>VLOOKUP(D1029,'[1] Wages Sheet FORM XVII'!A$11:U1112,20,0)</f>
        <v>616</v>
      </c>
    </row>
    <row r="1043" spans="1:4" x14ac:dyDescent="0.25">
      <c r="A1043" s="7" t="s">
        <v>1</v>
      </c>
      <c r="B1043" s="8">
        <f>VLOOKUP(D1029,'[1] Wages Sheet FORM XVII'!A$11:U1112,21,0)</f>
        <v>4552.7</v>
      </c>
    </row>
    <row r="1044" spans="1:4" x14ac:dyDescent="0.25">
      <c r="A1044" s="7"/>
      <c r="B1044" s="7"/>
    </row>
    <row r="1045" spans="1:4" x14ac:dyDescent="0.25">
      <c r="A1045" s="6"/>
      <c r="B1045" s="5" t="s">
        <v>0</v>
      </c>
    </row>
    <row r="1046" spans="1:4" x14ac:dyDescent="0.25">
      <c r="A1046" s="4"/>
      <c r="B1046" s="3"/>
    </row>
    <row r="1051" spans="1:4" ht="13.8" x14ac:dyDescent="0.25">
      <c r="A1051" s="18" t="s">
        <v>15</v>
      </c>
      <c r="B1051" s="17"/>
      <c r="C1051" s="19"/>
      <c r="D1051" s="1">
        <f>+D1029+1</f>
        <v>49</v>
      </c>
    </row>
    <row r="1052" spans="1:4" ht="13.8" x14ac:dyDescent="0.25">
      <c r="A1052" s="16" t="s">
        <v>14</v>
      </c>
      <c r="B1052" s="15"/>
      <c r="C1052" s="19"/>
    </row>
    <row r="1053" spans="1:4" ht="13.8" x14ac:dyDescent="0.25">
      <c r="A1053" s="14" t="s">
        <v>13</v>
      </c>
      <c r="B1053" s="13"/>
      <c r="C1053" s="19"/>
    </row>
    <row r="1054" spans="1:4" x14ac:dyDescent="0.25">
      <c r="A1054" s="6"/>
      <c r="B1054" s="5"/>
      <c r="C1054" s="19"/>
    </row>
    <row r="1055" spans="1:4" x14ac:dyDescent="0.25">
      <c r="A1055" s="12" t="s">
        <v>12</v>
      </c>
      <c r="B1055" s="11" t="str">
        <f>+'[1]FORM XIII'!$F$6</f>
        <v>SORYE CONTRUCTION</v>
      </c>
      <c r="C1055" s="19"/>
    </row>
    <row r="1056" spans="1:4" x14ac:dyDescent="0.25">
      <c r="A1056" s="7" t="s">
        <v>11</v>
      </c>
      <c r="B1056" s="7" t="str">
        <f>VLOOKUP(D1051,'[1] Wages Sheet FORM XVII'!A$11:U1134,3,0)</f>
        <v>HIMANSHU</v>
      </c>
      <c r="C1056" s="19"/>
    </row>
    <row r="1057" spans="1:3" x14ac:dyDescent="0.25">
      <c r="A1057" s="7" t="s">
        <v>10</v>
      </c>
      <c r="B1057" s="10" t="s">
        <v>9</v>
      </c>
      <c r="C1057" s="19"/>
    </row>
    <row r="1058" spans="1:3" x14ac:dyDescent="0.25">
      <c r="A1058" s="7" t="s">
        <v>8</v>
      </c>
      <c r="B1058" s="9">
        <v>45870</v>
      </c>
      <c r="C1058" s="19"/>
    </row>
    <row r="1059" spans="1:3" x14ac:dyDescent="0.25">
      <c r="A1059" s="7" t="s">
        <v>7</v>
      </c>
      <c r="B1059" s="8">
        <f>VLOOKUP(D1051,'[1] Wages Sheet FORM XVII'!A$11:U1134,11,0)</f>
        <v>24</v>
      </c>
      <c r="C1059" s="19"/>
    </row>
    <row r="1060" spans="1:3" x14ac:dyDescent="0.25">
      <c r="A1060" s="7" t="s">
        <v>6</v>
      </c>
      <c r="B1060" s="7">
        <v>0</v>
      </c>
      <c r="C1060" s="19"/>
    </row>
    <row r="1061" spans="1:3" x14ac:dyDescent="0.25">
      <c r="A1061" s="7" t="s">
        <v>5</v>
      </c>
      <c r="B1061" s="7">
        <f>VLOOKUP(D1051,'[1] Wages Sheet FORM XVII'!A$11:U1134,12,0)</f>
        <v>480.77</v>
      </c>
      <c r="C1061" s="19"/>
    </row>
    <row r="1062" spans="1:3" x14ac:dyDescent="0.25">
      <c r="A1062" s="7" t="s">
        <v>4</v>
      </c>
      <c r="B1062" s="7" t="e">
        <f>VLOOKUP(D1051,'[1] Wages Sheet FORM XVII'!A$11:U$34,15,0)</f>
        <v>#N/A</v>
      </c>
      <c r="C1062" s="19"/>
    </row>
    <row r="1063" spans="1:3" x14ac:dyDescent="0.25">
      <c r="A1063" s="7" t="s">
        <v>3</v>
      </c>
      <c r="B1063" s="8">
        <f>VLOOKUP(D1051,'[1] Wages Sheet FORM XVII'!A$11:U1134,17,0)</f>
        <v>1385</v>
      </c>
      <c r="C1063" s="19"/>
    </row>
    <row r="1064" spans="1:3" x14ac:dyDescent="0.25">
      <c r="A1064" s="7" t="s">
        <v>2</v>
      </c>
      <c r="B1064" s="8">
        <f>VLOOKUP(D1051,'[1] Wages Sheet FORM XVII'!A$11:U1134,20,0)</f>
        <v>1775</v>
      </c>
      <c r="C1064" s="19"/>
    </row>
    <row r="1065" spans="1:3" x14ac:dyDescent="0.25">
      <c r="A1065" s="7" t="s">
        <v>1</v>
      </c>
      <c r="B1065" s="8">
        <f>VLOOKUP(D1051,'[1] Wages Sheet FORM XVII'!A$11:U1134,21,0)</f>
        <v>10184.48</v>
      </c>
      <c r="C1065" s="19"/>
    </row>
    <row r="1066" spans="1:3" x14ac:dyDescent="0.25">
      <c r="A1066" s="7"/>
      <c r="B1066" s="7"/>
      <c r="C1066" s="19"/>
    </row>
    <row r="1067" spans="1:3" x14ac:dyDescent="0.25">
      <c r="A1067" s="6"/>
      <c r="B1067" s="5" t="s">
        <v>0</v>
      </c>
      <c r="C1067" s="19"/>
    </row>
    <row r="1068" spans="1:3" x14ac:dyDescent="0.25">
      <c r="A1068" s="4"/>
      <c r="B1068" s="3"/>
      <c r="C1068" s="19"/>
    </row>
    <row r="1069" spans="1:3" x14ac:dyDescent="0.25">
      <c r="C1069" s="19"/>
    </row>
    <row r="1073" spans="1:4" ht="13.8" x14ac:dyDescent="0.25">
      <c r="A1073" s="18" t="s">
        <v>15</v>
      </c>
      <c r="B1073" s="17"/>
      <c r="D1073" s="1">
        <f>+D1051+1</f>
        <v>50</v>
      </c>
    </row>
    <row r="1074" spans="1:4" ht="13.8" x14ac:dyDescent="0.25">
      <c r="A1074" s="16" t="s">
        <v>14</v>
      </c>
      <c r="B1074" s="15"/>
    </row>
    <row r="1075" spans="1:4" ht="13.8" x14ac:dyDescent="0.25">
      <c r="A1075" s="14" t="s">
        <v>13</v>
      </c>
      <c r="B1075" s="13"/>
    </row>
    <row r="1076" spans="1:4" x14ac:dyDescent="0.25">
      <c r="A1076" s="6"/>
      <c r="B1076" s="5"/>
    </row>
    <row r="1077" spans="1:4" x14ac:dyDescent="0.25">
      <c r="A1077" s="12" t="s">
        <v>12</v>
      </c>
      <c r="B1077" s="11" t="str">
        <f>+'[1]FORM XIII'!$F$6</f>
        <v>SORYE CONTRUCTION</v>
      </c>
    </row>
    <row r="1078" spans="1:4" x14ac:dyDescent="0.25">
      <c r="A1078" s="7" t="s">
        <v>11</v>
      </c>
      <c r="B1078" s="7" t="str">
        <f>VLOOKUP(D1073,'[1] Wages Sheet FORM XVII'!A$11:U1156,3,0)</f>
        <v>KULDEEP</v>
      </c>
    </row>
    <row r="1079" spans="1:4" x14ac:dyDescent="0.25">
      <c r="A1079" s="7" t="s">
        <v>10</v>
      </c>
      <c r="B1079" s="10" t="s">
        <v>9</v>
      </c>
    </row>
    <row r="1080" spans="1:4" x14ac:dyDescent="0.25">
      <c r="A1080" s="7" t="s">
        <v>8</v>
      </c>
      <c r="B1080" s="9">
        <v>45870</v>
      </c>
    </row>
    <row r="1081" spans="1:4" x14ac:dyDescent="0.25">
      <c r="A1081" s="7" t="s">
        <v>7</v>
      </c>
      <c r="B1081" s="8">
        <f>VLOOKUP(D1073,'[1] Wages Sheet FORM XVII'!A$11:U1156,11,0)</f>
        <v>14</v>
      </c>
    </row>
    <row r="1082" spans="1:4" x14ac:dyDescent="0.25">
      <c r="A1082" s="7" t="s">
        <v>6</v>
      </c>
      <c r="B1082" s="7">
        <v>0</v>
      </c>
    </row>
    <row r="1083" spans="1:4" x14ac:dyDescent="0.25">
      <c r="A1083" s="7" t="s">
        <v>5</v>
      </c>
      <c r="B1083" s="7">
        <f>VLOOKUP(D1073,'[1] Wages Sheet FORM XVII'!A$11:U1156,12,0)</f>
        <v>480.77</v>
      </c>
    </row>
    <row r="1084" spans="1:4" x14ac:dyDescent="0.25">
      <c r="A1084" s="7" t="s">
        <v>4</v>
      </c>
      <c r="B1084" s="7" t="e">
        <f>VLOOKUP(D1073,'[1] Wages Sheet FORM XVII'!A$11:U$34,15,0)</f>
        <v>#N/A</v>
      </c>
    </row>
    <row r="1085" spans="1:4" x14ac:dyDescent="0.25">
      <c r="A1085" s="7" t="s">
        <v>3</v>
      </c>
      <c r="B1085" s="8">
        <f>VLOOKUP(D1073,'[1] Wages Sheet FORM XVII'!A$11:U1156,17,0)</f>
        <v>808</v>
      </c>
    </row>
    <row r="1086" spans="1:4" x14ac:dyDescent="0.25">
      <c r="A1086" s="7" t="s">
        <v>2</v>
      </c>
      <c r="B1086" s="8">
        <f>VLOOKUP(D1073,'[1] Wages Sheet FORM XVII'!A$11:U1156,20,0)</f>
        <v>867</v>
      </c>
    </row>
    <row r="1087" spans="1:4" x14ac:dyDescent="0.25">
      <c r="A1087" s="7" t="s">
        <v>1</v>
      </c>
      <c r="B1087" s="8">
        <f>VLOOKUP(D1073,'[1] Wages Sheet FORM XVII'!A$11:U1156,21,0)</f>
        <v>7065.78</v>
      </c>
    </row>
    <row r="1088" spans="1:4" x14ac:dyDescent="0.25">
      <c r="A1088" s="7"/>
      <c r="B1088" s="7"/>
    </row>
    <row r="1089" spans="1:4" x14ac:dyDescent="0.25">
      <c r="A1089" s="6"/>
      <c r="B1089" s="5" t="s">
        <v>0</v>
      </c>
    </row>
    <row r="1090" spans="1:4" x14ac:dyDescent="0.25">
      <c r="A1090" s="4"/>
      <c r="B1090" s="3"/>
    </row>
    <row r="1095" spans="1:4" ht="13.8" x14ac:dyDescent="0.25">
      <c r="A1095" s="18" t="s">
        <v>15</v>
      </c>
      <c r="B1095" s="17"/>
      <c r="D1095" s="1">
        <f>+D1073+1</f>
        <v>51</v>
      </c>
    </row>
    <row r="1096" spans="1:4" ht="13.8" x14ac:dyDescent="0.25">
      <c r="A1096" s="16" t="s">
        <v>14</v>
      </c>
      <c r="B1096" s="15"/>
    </row>
    <row r="1097" spans="1:4" ht="13.8" x14ac:dyDescent="0.25">
      <c r="A1097" s="14" t="s">
        <v>13</v>
      </c>
      <c r="B1097" s="13"/>
    </row>
    <row r="1098" spans="1:4" x14ac:dyDescent="0.25">
      <c r="A1098" s="6"/>
      <c r="B1098" s="5"/>
    </row>
    <row r="1099" spans="1:4" x14ac:dyDescent="0.25">
      <c r="A1099" s="12" t="s">
        <v>12</v>
      </c>
      <c r="B1099" s="11" t="str">
        <f>+'[1]FORM XIII'!$F$6</f>
        <v>SORYE CONTRUCTION</v>
      </c>
    </row>
    <row r="1100" spans="1:4" x14ac:dyDescent="0.25">
      <c r="A1100" s="7" t="s">
        <v>11</v>
      </c>
      <c r="B1100" s="7" t="str">
        <f>VLOOKUP(D1095,'[1] Wages Sheet FORM XVII'!A$11:U1178,3,0)</f>
        <v>DEVENDRA KUMAR</v>
      </c>
    </row>
    <row r="1101" spans="1:4" x14ac:dyDescent="0.25">
      <c r="A1101" s="7" t="s">
        <v>10</v>
      </c>
      <c r="B1101" s="10" t="s">
        <v>9</v>
      </c>
    </row>
    <row r="1102" spans="1:4" x14ac:dyDescent="0.25">
      <c r="A1102" s="7" t="s">
        <v>8</v>
      </c>
      <c r="B1102" s="9">
        <v>45870</v>
      </c>
    </row>
    <row r="1103" spans="1:4" x14ac:dyDescent="0.25">
      <c r="A1103" s="7" t="s">
        <v>7</v>
      </c>
      <c r="B1103" s="8">
        <f>VLOOKUP(D1095,'[1] Wages Sheet FORM XVII'!A$11:U1178,11,0)</f>
        <v>21</v>
      </c>
    </row>
    <row r="1104" spans="1:4" x14ac:dyDescent="0.25">
      <c r="A1104" s="7" t="s">
        <v>6</v>
      </c>
      <c r="B1104" s="7">
        <v>0</v>
      </c>
    </row>
    <row r="1105" spans="1:4" x14ac:dyDescent="0.25">
      <c r="A1105" s="7" t="s">
        <v>5</v>
      </c>
      <c r="B1105" s="7">
        <f>VLOOKUP(D1095,'[1] Wages Sheet FORM XVII'!A$11:U1178,12,0)</f>
        <v>480.77</v>
      </c>
    </row>
    <row r="1106" spans="1:4" x14ac:dyDescent="0.25">
      <c r="A1106" s="7" t="s">
        <v>4</v>
      </c>
      <c r="B1106" s="7" t="e">
        <f>VLOOKUP(D1095,'[1] Wages Sheet FORM XVII'!A$11:U$34,15,0)</f>
        <v>#N/A</v>
      </c>
    </row>
    <row r="1107" spans="1:4" x14ac:dyDescent="0.25">
      <c r="A1107" s="7" t="s">
        <v>3</v>
      </c>
      <c r="B1107" s="8">
        <f>VLOOKUP(D1095,'[1] Wages Sheet FORM XVII'!A$11:U1178,17,0)</f>
        <v>1212</v>
      </c>
    </row>
    <row r="1108" spans="1:4" x14ac:dyDescent="0.25">
      <c r="A1108" s="7" t="s">
        <v>2</v>
      </c>
      <c r="B1108" s="8">
        <f>VLOOKUP(D1095,'[1] Wages Sheet FORM XVII'!A$11:U1178,20,0)</f>
        <v>1297</v>
      </c>
    </row>
    <row r="1109" spans="1:4" x14ac:dyDescent="0.25">
      <c r="A1109" s="7" t="s">
        <v>1</v>
      </c>
      <c r="B1109" s="8">
        <f>VLOOKUP(D1095,'[1] Wages Sheet FORM XVII'!A$11:U1178,21,0)</f>
        <v>10001.17</v>
      </c>
    </row>
    <row r="1110" spans="1:4" x14ac:dyDescent="0.25">
      <c r="A1110" s="7"/>
      <c r="B1110" s="7"/>
    </row>
    <row r="1111" spans="1:4" x14ac:dyDescent="0.25">
      <c r="A1111" s="6"/>
      <c r="B1111" s="5" t="s">
        <v>0</v>
      </c>
    </row>
    <row r="1112" spans="1:4" x14ac:dyDescent="0.25">
      <c r="A1112" s="4"/>
      <c r="B1112" s="3"/>
    </row>
    <row r="1117" spans="1:4" ht="13.8" x14ac:dyDescent="0.25">
      <c r="A1117" s="18" t="s">
        <v>15</v>
      </c>
      <c r="B1117" s="17"/>
      <c r="D1117" s="1">
        <f>+D1095+1</f>
        <v>52</v>
      </c>
    </row>
    <row r="1118" spans="1:4" ht="13.8" x14ac:dyDescent="0.25">
      <c r="A1118" s="16" t="s">
        <v>14</v>
      </c>
      <c r="B1118" s="15"/>
    </row>
    <row r="1119" spans="1:4" ht="13.8" x14ac:dyDescent="0.25">
      <c r="A1119" s="14" t="s">
        <v>13</v>
      </c>
      <c r="B1119" s="13"/>
    </row>
    <row r="1120" spans="1:4" x14ac:dyDescent="0.25">
      <c r="A1120" s="6"/>
      <c r="B1120" s="5"/>
    </row>
    <row r="1121" spans="1:2" x14ac:dyDescent="0.25">
      <c r="A1121" s="12" t="s">
        <v>12</v>
      </c>
      <c r="B1121" s="11" t="str">
        <f>+'[1]FORM XIII'!$F$6</f>
        <v>SORYE CONTRUCTION</v>
      </c>
    </row>
    <row r="1122" spans="1:2" x14ac:dyDescent="0.25">
      <c r="A1122" s="7" t="s">
        <v>11</v>
      </c>
      <c r="B1122" s="7" t="str">
        <f>VLOOKUP(D1117,'[1] Wages Sheet FORM XVII'!A$11:U1200,3,0)</f>
        <v>JAGENDRA</v>
      </c>
    </row>
    <row r="1123" spans="1:2" x14ac:dyDescent="0.25">
      <c r="A1123" s="7" t="s">
        <v>10</v>
      </c>
      <c r="B1123" s="10" t="s">
        <v>9</v>
      </c>
    </row>
    <row r="1124" spans="1:2" x14ac:dyDescent="0.25">
      <c r="A1124" s="7" t="s">
        <v>8</v>
      </c>
      <c r="B1124" s="9">
        <v>45870</v>
      </c>
    </row>
    <row r="1125" spans="1:2" x14ac:dyDescent="0.25">
      <c r="A1125" s="7" t="s">
        <v>7</v>
      </c>
      <c r="B1125" s="8">
        <f>VLOOKUP(D1117,'[1] Wages Sheet FORM XVII'!A$11:U1200,11,0)</f>
        <v>9</v>
      </c>
    </row>
    <row r="1126" spans="1:2" x14ac:dyDescent="0.25">
      <c r="A1126" s="7" t="s">
        <v>6</v>
      </c>
      <c r="B1126" s="7">
        <v>0</v>
      </c>
    </row>
    <row r="1127" spans="1:2" x14ac:dyDescent="0.25">
      <c r="A1127" s="7" t="s">
        <v>5</v>
      </c>
      <c r="B1127" s="7">
        <f>VLOOKUP(D1117,'[1] Wages Sheet FORM XVII'!A$11:U1200,12,0)</f>
        <v>480.77</v>
      </c>
    </row>
    <row r="1128" spans="1:2" x14ac:dyDescent="0.25">
      <c r="A1128" s="7" t="s">
        <v>4</v>
      </c>
      <c r="B1128" s="7" t="e">
        <f>VLOOKUP(D1117,'[1] Wages Sheet FORM XVII'!A$11:U$34,15,0)</f>
        <v>#N/A</v>
      </c>
    </row>
    <row r="1129" spans="1:2" x14ac:dyDescent="0.25">
      <c r="A1129" s="7" t="s">
        <v>3</v>
      </c>
      <c r="B1129" s="8">
        <f>VLOOKUP(D1117,'[1] Wages Sheet FORM XVII'!A$11:U1200,17,0)</f>
        <v>519</v>
      </c>
    </row>
    <row r="1130" spans="1:2" x14ac:dyDescent="0.25">
      <c r="A1130" s="7" t="s">
        <v>2</v>
      </c>
      <c r="B1130" s="8">
        <f>VLOOKUP(D1117,'[1] Wages Sheet FORM XVII'!A$11:U1200,20,0)</f>
        <v>764</v>
      </c>
    </row>
    <row r="1131" spans="1:2" x14ac:dyDescent="0.25">
      <c r="A1131" s="7" t="s">
        <v>1</v>
      </c>
      <c r="B1131" s="8">
        <f>VLOOKUP(D1117,'[1] Wages Sheet FORM XVII'!A$11:U1200,21,0)</f>
        <v>3622.9300000000003</v>
      </c>
    </row>
    <row r="1132" spans="1:2" x14ac:dyDescent="0.25">
      <c r="A1132" s="7"/>
      <c r="B1132" s="7"/>
    </row>
    <row r="1133" spans="1:2" x14ac:dyDescent="0.25">
      <c r="A1133" s="6"/>
      <c r="B1133" s="5" t="s">
        <v>0</v>
      </c>
    </row>
    <row r="1134" spans="1:2" x14ac:dyDescent="0.25">
      <c r="A1134" s="4"/>
      <c r="B1134" s="3"/>
    </row>
    <row r="1139" spans="1:4" ht="13.8" x14ac:dyDescent="0.25">
      <c r="A1139" s="18" t="s">
        <v>15</v>
      </c>
      <c r="B1139" s="17"/>
      <c r="C1139" s="19"/>
      <c r="D1139" s="1">
        <f>+D1117+1</f>
        <v>53</v>
      </c>
    </row>
    <row r="1140" spans="1:4" ht="13.8" x14ac:dyDescent="0.25">
      <c r="A1140" s="16" t="s">
        <v>14</v>
      </c>
      <c r="B1140" s="15"/>
      <c r="C1140" s="19"/>
    </row>
    <row r="1141" spans="1:4" ht="13.8" x14ac:dyDescent="0.25">
      <c r="A1141" s="14" t="s">
        <v>13</v>
      </c>
      <c r="B1141" s="13"/>
      <c r="C1141" s="19"/>
    </row>
    <row r="1142" spans="1:4" x14ac:dyDescent="0.25">
      <c r="A1142" s="6"/>
      <c r="B1142" s="5"/>
      <c r="C1142" s="19"/>
    </row>
    <row r="1143" spans="1:4" x14ac:dyDescent="0.25">
      <c r="A1143" s="12" t="s">
        <v>12</v>
      </c>
      <c r="B1143" s="11" t="str">
        <f>+'[1]FORM XIII'!$F$6</f>
        <v>SORYE CONTRUCTION</v>
      </c>
      <c r="C1143" s="19"/>
    </row>
    <row r="1144" spans="1:4" x14ac:dyDescent="0.25">
      <c r="A1144" s="7" t="s">
        <v>11</v>
      </c>
      <c r="B1144" s="7" t="str">
        <f>VLOOKUP(D1139,'[1] Wages Sheet FORM XVII'!A$11:U1222,3,0)</f>
        <v>AMIT KUMAR</v>
      </c>
      <c r="C1144" s="19"/>
    </row>
    <row r="1145" spans="1:4" x14ac:dyDescent="0.25">
      <c r="A1145" s="7" t="s">
        <v>10</v>
      </c>
      <c r="B1145" s="10" t="s">
        <v>9</v>
      </c>
      <c r="C1145" s="19"/>
    </row>
    <row r="1146" spans="1:4" x14ac:dyDescent="0.25">
      <c r="A1146" s="7" t="s">
        <v>8</v>
      </c>
      <c r="B1146" s="9">
        <v>45870</v>
      </c>
      <c r="C1146" s="19"/>
    </row>
    <row r="1147" spans="1:4" x14ac:dyDescent="0.25">
      <c r="A1147" s="7" t="s">
        <v>7</v>
      </c>
      <c r="B1147" s="8">
        <f>VLOOKUP(D1139,'[1] Wages Sheet FORM XVII'!A$11:U1222,11,0)</f>
        <v>21</v>
      </c>
      <c r="C1147" s="19"/>
    </row>
    <row r="1148" spans="1:4" x14ac:dyDescent="0.25">
      <c r="A1148" s="7" t="s">
        <v>6</v>
      </c>
      <c r="B1148" s="7">
        <v>0</v>
      </c>
      <c r="C1148" s="19"/>
    </row>
    <row r="1149" spans="1:4" x14ac:dyDescent="0.25">
      <c r="A1149" s="7" t="s">
        <v>5</v>
      </c>
      <c r="B1149" s="7">
        <f>VLOOKUP(D1139,'[1] Wages Sheet FORM XVII'!A$11:U1222,12,0)</f>
        <v>480.77</v>
      </c>
      <c r="C1149" s="19"/>
    </row>
    <row r="1150" spans="1:4" x14ac:dyDescent="0.25">
      <c r="A1150" s="7" t="s">
        <v>4</v>
      </c>
      <c r="B1150" s="7" t="e">
        <f>VLOOKUP(D1139,'[1] Wages Sheet FORM XVII'!A$11:U$34,15,0)</f>
        <v>#N/A</v>
      </c>
      <c r="C1150" s="19"/>
    </row>
    <row r="1151" spans="1:4" x14ac:dyDescent="0.25">
      <c r="A1151" s="7" t="s">
        <v>3</v>
      </c>
      <c r="B1151" s="8">
        <f>VLOOKUP(D1139,'[1] Wages Sheet FORM XVII'!A$11:U1222,17,0)</f>
        <v>1212</v>
      </c>
      <c r="C1151" s="19"/>
    </row>
    <row r="1152" spans="1:4" x14ac:dyDescent="0.25">
      <c r="A1152" s="7" t="s">
        <v>2</v>
      </c>
      <c r="B1152" s="8">
        <f>VLOOKUP(D1139,'[1] Wages Sheet FORM XVII'!A$11:U1222,20,0)</f>
        <v>1345</v>
      </c>
      <c r="C1152" s="19"/>
    </row>
    <row r="1153" spans="1:4" x14ac:dyDescent="0.25">
      <c r="A1153" s="7" t="s">
        <v>1</v>
      </c>
      <c r="B1153" s="8">
        <f>VLOOKUP(D1139,'[1] Wages Sheet FORM XVII'!A$11:U1222,21,0)</f>
        <v>9713.17</v>
      </c>
      <c r="C1153" s="19"/>
    </row>
    <row r="1154" spans="1:4" x14ac:dyDescent="0.25">
      <c r="A1154" s="7"/>
      <c r="B1154" s="7"/>
      <c r="C1154" s="19"/>
    </row>
    <row r="1155" spans="1:4" x14ac:dyDescent="0.25">
      <c r="A1155" s="6"/>
      <c r="B1155" s="5" t="s">
        <v>0</v>
      </c>
      <c r="C1155" s="19"/>
    </row>
    <row r="1156" spans="1:4" x14ac:dyDescent="0.25">
      <c r="A1156" s="4"/>
      <c r="B1156" s="3"/>
      <c r="C1156" s="19"/>
    </row>
    <row r="1157" spans="1:4" x14ac:dyDescent="0.25">
      <c r="C1157" s="19"/>
    </row>
    <row r="1161" spans="1:4" ht="13.8" x14ac:dyDescent="0.25">
      <c r="A1161" s="18" t="s">
        <v>15</v>
      </c>
      <c r="B1161" s="17"/>
      <c r="D1161" s="1">
        <f>+D1139+1</f>
        <v>54</v>
      </c>
    </row>
    <row r="1162" spans="1:4" ht="13.8" x14ac:dyDescent="0.25">
      <c r="A1162" s="16" t="s">
        <v>14</v>
      </c>
      <c r="B1162" s="15"/>
    </row>
    <row r="1163" spans="1:4" ht="13.8" x14ac:dyDescent="0.25">
      <c r="A1163" s="14" t="s">
        <v>13</v>
      </c>
      <c r="B1163" s="13"/>
    </row>
    <row r="1164" spans="1:4" x14ac:dyDescent="0.25">
      <c r="A1164" s="6"/>
      <c r="B1164" s="5"/>
    </row>
    <row r="1165" spans="1:4" x14ac:dyDescent="0.25">
      <c r="A1165" s="12" t="s">
        <v>12</v>
      </c>
      <c r="B1165" s="11" t="str">
        <f>+'[1]FORM XIII'!$F$6</f>
        <v>SORYE CONTRUCTION</v>
      </c>
    </row>
    <row r="1166" spans="1:4" x14ac:dyDescent="0.25">
      <c r="A1166" s="7" t="s">
        <v>11</v>
      </c>
      <c r="B1166" s="7" t="str">
        <f>VLOOKUP(D1161,'[1] Wages Sheet FORM XVII'!A$11:U1244,3,0)</f>
        <v>JOGENDRA KUMAR</v>
      </c>
    </row>
    <row r="1167" spans="1:4" x14ac:dyDescent="0.25">
      <c r="A1167" s="7" t="s">
        <v>10</v>
      </c>
      <c r="B1167" s="10" t="s">
        <v>9</v>
      </c>
    </row>
    <row r="1168" spans="1:4" x14ac:dyDescent="0.25">
      <c r="A1168" s="7" t="s">
        <v>8</v>
      </c>
      <c r="B1168" s="9">
        <v>45870</v>
      </c>
    </row>
    <row r="1169" spans="1:4" x14ac:dyDescent="0.25">
      <c r="A1169" s="7" t="s">
        <v>7</v>
      </c>
      <c r="B1169" s="8">
        <f>VLOOKUP(D1161,'[1] Wages Sheet FORM XVII'!A$11:U1244,11,0)</f>
        <v>26</v>
      </c>
    </row>
    <row r="1170" spans="1:4" x14ac:dyDescent="0.25">
      <c r="A1170" s="7" t="s">
        <v>6</v>
      </c>
      <c r="B1170" s="7">
        <v>0</v>
      </c>
    </row>
    <row r="1171" spans="1:4" x14ac:dyDescent="0.25">
      <c r="A1171" s="7" t="s">
        <v>5</v>
      </c>
      <c r="B1171" s="7">
        <f>VLOOKUP(D1161,'[1] Wages Sheet FORM XVII'!A$11:U1244,12,0)</f>
        <v>480.77</v>
      </c>
    </row>
    <row r="1172" spans="1:4" x14ac:dyDescent="0.25">
      <c r="A1172" s="7" t="s">
        <v>4</v>
      </c>
      <c r="B1172" s="7" t="e">
        <f>VLOOKUP(D1161,'[1] Wages Sheet FORM XVII'!A$11:U$34,15,0)</f>
        <v>#N/A</v>
      </c>
    </row>
    <row r="1173" spans="1:4" x14ac:dyDescent="0.25">
      <c r="A1173" s="7" t="s">
        <v>3</v>
      </c>
      <c r="B1173" s="8">
        <f>VLOOKUP(D1161,'[1] Wages Sheet FORM XVII'!A$11:U1244,17,0)</f>
        <v>1500</v>
      </c>
    </row>
    <row r="1174" spans="1:4" x14ac:dyDescent="0.25">
      <c r="A1174" s="7" t="s">
        <v>2</v>
      </c>
      <c r="B1174" s="8">
        <f>VLOOKUP(D1161,'[1] Wages Sheet FORM XVII'!A$11:U1244,20,0)</f>
        <v>1859</v>
      </c>
    </row>
    <row r="1175" spans="1:4" x14ac:dyDescent="0.25">
      <c r="A1175" s="7" t="s">
        <v>1</v>
      </c>
      <c r="B1175" s="8">
        <f>VLOOKUP(D1161,'[1] Wages Sheet FORM XVII'!A$11:U1244,21,0)</f>
        <v>12684.02</v>
      </c>
    </row>
    <row r="1176" spans="1:4" x14ac:dyDescent="0.25">
      <c r="A1176" s="7"/>
      <c r="B1176" s="7"/>
    </row>
    <row r="1177" spans="1:4" x14ac:dyDescent="0.25">
      <c r="A1177" s="6"/>
      <c r="B1177" s="5" t="s">
        <v>0</v>
      </c>
    </row>
    <row r="1178" spans="1:4" x14ac:dyDescent="0.25">
      <c r="A1178" s="4"/>
      <c r="B1178" s="3"/>
    </row>
    <row r="1183" spans="1:4" ht="13.8" x14ac:dyDescent="0.25">
      <c r="A1183" s="18" t="s">
        <v>15</v>
      </c>
      <c r="B1183" s="17"/>
      <c r="D1183" s="1">
        <f>+D1161+1</f>
        <v>55</v>
      </c>
    </row>
    <row r="1184" spans="1:4" ht="13.8" x14ac:dyDescent="0.25">
      <c r="A1184" s="16" t="s">
        <v>14</v>
      </c>
      <c r="B1184" s="15"/>
    </row>
    <row r="1185" spans="1:2" ht="13.8" x14ac:dyDescent="0.25">
      <c r="A1185" s="14" t="s">
        <v>13</v>
      </c>
      <c r="B1185" s="13"/>
    </row>
    <row r="1186" spans="1:2" x14ac:dyDescent="0.25">
      <c r="A1186" s="6"/>
      <c r="B1186" s="5"/>
    </row>
    <row r="1187" spans="1:2" x14ac:dyDescent="0.25">
      <c r="A1187" s="12" t="s">
        <v>12</v>
      </c>
      <c r="B1187" s="11" t="str">
        <f>+'[1]FORM XIII'!$F$6</f>
        <v>SORYE CONTRUCTION</v>
      </c>
    </row>
    <row r="1188" spans="1:2" x14ac:dyDescent="0.25">
      <c r="A1188" s="7" t="s">
        <v>11</v>
      </c>
      <c r="B1188" s="7" t="str">
        <f>VLOOKUP(D1183,'[1] Wages Sheet FORM XVII'!A$11:U1266,3,0)</f>
        <v>SHEKHAR</v>
      </c>
    </row>
    <row r="1189" spans="1:2" x14ac:dyDescent="0.25">
      <c r="A1189" s="7" t="s">
        <v>10</v>
      </c>
      <c r="B1189" s="10" t="s">
        <v>9</v>
      </c>
    </row>
    <row r="1190" spans="1:2" x14ac:dyDescent="0.25">
      <c r="A1190" s="7" t="s">
        <v>8</v>
      </c>
      <c r="B1190" s="9">
        <v>45870</v>
      </c>
    </row>
    <row r="1191" spans="1:2" x14ac:dyDescent="0.25">
      <c r="A1191" s="7" t="s">
        <v>7</v>
      </c>
      <c r="B1191" s="8">
        <f>VLOOKUP(D1183,'[1] Wages Sheet FORM XVII'!A$11:U1266,11,0)</f>
        <v>12</v>
      </c>
    </row>
    <row r="1192" spans="1:2" x14ac:dyDescent="0.25">
      <c r="A1192" s="7" t="s">
        <v>6</v>
      </c>
      <c r="B1192" s="7">
        <v>0</v>
      </c>
    </row>
    <row r="1193" spans="1:2" x14ac:dyDescent="0.25">
      <c r="A1193" s="7" t="s">
        <v>5</v>
      </c>
      <c r="B1193" s="7">
        <f>VLOOKUP(D1183,'[1] Wages Sheet FORM XVII'!A$11:U1266,12,0)</f>
        <v>480.77</v>
      </c>
    </row>
    <row r="1194" spans="1:2" x14ac:dyDescent="0.25">
      <c r="A1194" s="7" t="s">
        <v>4</v>
      </c>
      <c r="B1194" s="7" t="e">
        <f>VLOOKUP(D1183,'[1] Wages Sheet FORM XVII'!A$11:U$34,15,0)</f>
        <v>#N/A</v>
      </c>
    </row>
    <row r="1195" spans="1:2" x14ac:dyDescent="0.25">
      <c r="A1195" s="7" t="s">
        <v>3</v>
      </c>
      <c r="B1195" s="8">
        <f>VLOOKUP(D1183,'[1] Wages Sheet FORM XVII'!A$11:U1266,17,0)</f>
        <v>692</v>
      </c>
    </row>
    <row r="1196" spans="1:2" x14ac:dyDescent="0.25">
      <c r="A1196" s="7" t="s">
        <v>2</v>
      </c>
      <c r="B1196" s="8">
        <f>VLOOKUP(D1183,'[1] Wages Sheet FORM XVII'!A$11:U1266,20,0)</f>
        <v>738</v>
      </c>
    </row>
    <row r="1197" spans="1:2" x14ac:dyDescent="0.25">
      <c r="A1197" s="7" t="s">
        <v>1</v>
      </c>
      <c r="B1197" s="8">
        <f>VLOOKUP(D1183,'[1] Wages Sheet FORM XVII'!A$11:U1266,21,0)</f>
        <v>5392.24</v>
      </c>
    </row>
    <row r="1198" spans="1:2" x14ac:dyDescent="0.25">
      <c r="A1198" s="7"/>
      <c r="B1198" s="7"/>
    </row>
    <row r="1199" spans="1:2" x14ac:dyDescent="0.25">
      <c r="A1199" s="6"/>
      <c r="B1199" s="5" t="s">
        <v>0</v>
      </c>
    </row>
    <row r="1200" spans="1:2" x14ac:dyDescent="0.25">
      <c r="A1200" s="4"/>
      <c r="B1200" s="3"/>
    </row>
    <row r="1205" spans="1:4" ht="13.8" x14ac:dyDescent="0.25">
      <c r="A1205" s="18" t="s">
        <v>15</v>
      </c>
      <c r="B1205" s="17"/>
      <c r="D1205" s="1">
        <f>+D1183+1</f>
        <v>56</v>
      </c>
    </row>
    <row r="1206" spans="1:4" ht="13.8" x14ac:dyDescent="0.25">
      <c r="A1206" s="16" t="s">
        <v>14</v>
      </c>
      <c r="B1206" s="15"/>
    </row>
    <row r="1207" spans="1:4" ht="13.8" x14ac:dyDescent="0.25">
      <c r="A1207" s="14" t="s">
        <v>13</v>
      </c>
      <c r="B1207" s="13"/>
    </row>
    <row r="1208" spans="1:4" x14ac:dyDescent="0.25">
      <c r="A1208" s="6"/>
      <c r="B1208" s="5"/>
    </row>
    <row r="1209" spans="1:4" x14ac:dyDescent="0.25">
      <c r="A1209" s="12" t="s">
        <v>12</v>
      </c>
      <c r="B1209" s="11" t="str">
        <f>+'[1]FORM XIII'!$F$6</f>
        <v>SORYE CONTRUCTION</v>
      </c>
    </row>
    <row r="1210" spans="1:4" x14ac:dyDescent="0.25">
      <c r="A1210" s="7" t="s">
        <v>11</v>
      </c>
      <c r="B1210" s="7" t="str">
        <f>VLOOKUP(D1205,'[1] Wages Sheet FORM XVII'!A$11:U1288,3,0)</f>
        <v>VISHAL</v>
      </c>
    </row>
    <row r="1211" spans="1:4" x14ac:dyDescent="0.25">
      <c r="A1211" s="7" t="s">
        <v>10</v>
      </c>
      <c r="B1211" s="10" t="s">
        <v>9</v>
      </c>
    </row>
    <row r="1212" spans="1:4" x14ac:dyDescent="0.25">
      <c r="A1212" s="7" t="s">
        <v>8</v>
      </c>
      <c r="B1212" s="9">
        <v>45870</v>
      </c>
    </row>
    <row r="1213" spans="1:4" x14ac:dyDescent="0.25">
      <c r="A1213" s="7" t="s">
        <v>7</v>
      </c>
      <c r="B1213" s="8">
        <f>VLOOKUP(D1205,'[1] Wages Sheet FORM XVII'!A$11:U1288,11,0)</f>
        <v>1</v>
      </c>
    </row>
    <row r="1214" spans="1:4" x14ac:dyDescent="0.25">
      <c r="A1214" s="7" t="s">
        <v>6</v>
      </c>
      <c r="B1214" s="7">
        <v>0</v>
      </c>
    </row>
    <row r="1215" spans="1:4" x14ac:dyDescent="0.25">
      <c r="A1215" s="7" t="s">
        <v>5</v>
      </c>
      <c r="B1215" s="7">
        <f>VLOOKUP(D1205,'[1] Wages Sheet FORM XVII'!A$11:U1288,12,0)</f>
        <v>480.77</v>
      </c>
    </row>
    <row r="1216" spans="1:4" x14ac:dyDescent="0.25">
      <c r="A1216" s="7" t="s">
        <v>4</v>
      </c>
      <c r="B1216" s="7" t="e">
        <f>VLOOKUP(D1205,'[1] Wages Sheet FORM XVII'!A$11:U$34,15,0)</f>
        <v>#N/A</v>
      </c>
    </row>
    <row r="1217" spans="1:4" x14ac:dyDescent="0.25">
      <c r="A1217" s="7" t="s">
        <v>3</v>
      </c>
      <c r="B1217" s="8">
        <f>VLOOKUP(D1205,'[1] Wages Sheet FORM XVII'!A$11:U1288,17,0)</f>
        <v>58</v>
      </c>
    </row>
    <row r="1218" spans="1:4" x14ac:dyDescent="0.25">
      <c r="A1218" s="7" t="s">
        <v>2</v>
      </c>
      <c r="B1218" s="8">
        <f>VLOOKUP(D1205,'[1] Wages Sheet FORM XVII'!A$11:U1288,20,0)</f>
        <v>74</v>
      </c>
    </row>
    <row r="1219" spans="1:4" x14ac:dyDescent="0.25">
      <c r="A1219" s="7" t="s">
        <v>1</v>
      </c>
      <c r="B1219" s="8">
        <f>VLOOKUP(D1205,'[1] Wages Sheet FORM XVII'!A$11:U1288,21,0)</f>
        <v>406.77</v>
      </c>
    </row>
    <row r="1220" spans="1:4" x14ac:dyDescent="0.25">
      <c r="A1220" s="7"/>
      <c r="B1220" s="7"/>
    </row>
    <row r="1221" spans="1:4" x14ac:dyDescent="0.25">
      <c r="A1221" s="6"/>
      <c r="B1221" s="5" t="s">
        <v>0</v>
      </c>
    </row>
    <row r="1222" spans="1:4" x14ac:dyDescent="0.25">
      <c r="A1222" s="4"/>
      <c r="B1222" s="3"/>
    </row>
    <row r="1227" spans="1:4" ht="13.8" x14ac:dyDescent="0.25">
      <c r="A1227" s="18" t="s">
        <v>15</v>
      </c>
      <c r="B1227" s="17"/>
      <c r="C1227" s="19"/>
      <c r="D1227" s="1">
        <f>+D1205+1</f>
        <v>57</v>
      </c>
    </row>
    <row r="1228" spans="1:4" ht="13.8" x14ac:dyDescent="0.25">
      <c r="A1228" s="16" t="s">
        <v>14</v>
      </c>
      <c r="B1228" s="15"/>
      <c r="C1228" s="19"/>
    </row>
    <row r="1229" spans="1:4" ht="13.8" x14ac:dyDescent="0.25">
      <c r="A1229" s="14" t="s">
        <v>13</v>
      </c>
      <c r="B1229" s="13"/>
      <c r="C1229" s="19"/>
    </row>
    <row r="1230" spans="1:4" x14ac:dyDescent="0.25">
      <c r="A1230" s="6"/>
      <c r="B1230" s="5"/>
      <c r="C1230" s="19"/>
    </row>
    <row r="1231" spans="1:4" x14ac:dyDescent="0.25">
      <c r="A1231" s="12" t="s">
        <v>12</v>
      </c>
      <c r="B1231" s="11" t="str">
        <f>+'[1]FORM XIII'!$F$6</f>
        <v>SORYE CONTRUCTION</v>
      </c>
      <c r="C1231" s="19"/>
    </row>
    <row r="1232" spans="1:4" x14ac:dyDescent="0.25">
      <c r="A1232" s="7" t="s">
        <v>11</v>
      </c>
      <c r="B1232" s="7" t="str">
        <f>VLOOKUP(D1227,'[1] Wages Sheet FORM XVII'!A$11:U1310,3,0)</f>
        <v>ANKIT KUMAR</v>
      </c>
      <c r="C1232" s="19"/>
    </row>
    <row r="1233" spans="1:3" x14ac:dyDescent="0.25">
      <c r="A1233" s="7" t="s">
        <v>10</v>
      </c>
      <c r="B1233" s="10" t="s">
        <v>9</v>
      </c>
      <c r="C1233" s="19"/>
    </row>
    <row r="1234" spans="1:3" x14ac:dyDescent="0.25">
      <c r="A1234" s="7" t="s">
        <v>8</v>
      </c>
      <c r="B1234" s="9">
        <v>45870</v>
      </c>
      <c r="C1234" s="19"/>
    </row>
    <row r="1235" spans="1:3" x14ac:dyDescent="0.25">
      <c r="A1235" s="7" t="s">
        <v>7</v>
      </c>
      <c r="B1235" s="8">
        <f>VLOOKUP(D1227,'[1] Wages Sheet FORM XVII'!A$11:U1310,11,0)</f>
        <v>16</v>
      </c>
      <c r="C1235" s="19"/>
    </row>
    <row r="1236" spans="1:3" x14ac:dyDescent="0.25">
      <c r="A1236" s="7" t="s">
        <v>6</v>
      </c>
      <c r="B1236" s="7">
        <v>0</v>
      </c>
      <c r="C1236" s="19"/>
    </row>
    <row r="1237" spans="1:3" x14ac:dyDescent="0.25">
      <c r="A1237" s="7" t="s">
        <v>5</v>
      </c>
      <c r="B1237" s="7">
        <f>VLOOKUP(D1227,'[1] Wages Sheet FORM XVII'!A$11:U1310,12,0)</f>
        <v>480.77</v>
      </c>
      <c r="C1237" s="19"/>
    </row>
    <row r="1238" spans="1:3" x14ac:dyDescent="0.25">
      <c r="A1238" s="7" t="s">
        <v>4</v>
      </c>
      <c r="B1238" s="7" t="e">
        <f>VLOOKUP(D1227,'[1] Wages Sheet FORM XVII'!A$11:U$34,15,0)</f>
        <v>#N/A</v>
      </c>
      <c r="C1238" s="19"/>
    </row>
    <row r="1239" spans="1:3" x14ac:dyDescent="0.25">
      <c r="A1239" s="7" t="s">
        <v>3</v>
      </c>
      <c r="B1239" s="8">
        <f>VLOOKUP(D1227,'[1] Wages Sheet FORM XVII'!A$11:U1310,17,0)</f>
        <v>923</v>
      </c>
      <c r="C1239" s="19"/>
    </row>
    <row r="1240" spans="1:3" x14ac:dyDescent="0.25">
      <c r="A1240" s="7" t="s">
        <v>2</v>
      </c>
      <c r="B1240" s="8">
        <f>VLOOKUP(D1227,'[1] Wages Sheet FORM XVII'!A$11:U1310,20,0)</f>
        <v>1334</v>
      </c>
      <c r="C1240" s="19"/>
    </row>
    <row r="1241" spans="1:3" x14ac:dyDescent="0.25">
      <c r="A1241" s="7" t="s">
        <v>1</v>
      </c>
      <c r="B1241" s="8">
        <f>VLOOKUP(D1227,'[1] Wages Sheet FORM XVII'!A$11:U1310,21,0)</f>
        <v>6839.32</v>
      </c>
      <c r="C1241" s="19"/>
    </row>
    <row r="1242" spans="1:3" x14ac:dyDescent="0.25">
      <c r="A1242" s="7"/>
      <c r="B1242" s="7"/>
      <c r="C1242" s="19"/>
    </row>
    <row r="1243" spans="1:3" x14ac:dyDescent="0.25">
      <c r="A1243" s="6"/>
      <c r="B1243" s="5" t="s">
        <v>0</v>
      </c>
      <c r="C1243" s="19"/>
    </row>
    <row r="1244" spans="1:3" x14ac:dyDescent="0.25">
      <c r="A1244" s="4"/>
      <c r="B1244" s="3"/>
      <c r="C1244" s="19"/>
    </row>
    <row r="1245" spans="1:3" x14ac:dyDescent="0.25">
      <c r="C1245" s="19"/>
    </row>
    <row r="1249" spans="1:4" ht="13.8" x14ac:dyDescent="0.25">
      <c r="A1249" s="18" t="s">
        <v>15</v>
      </c>
      <c r="B1249" s="17"/>
      <c r="D1249" s="1">
        <f>+D1227+1</f>
        <v>58</v>
      </c>
    </row>
    <row r="1250" spans="1:4" ht="13.8" x14ac:dyDescent="0.25">
      <c r="A1250" s="16" t="s">
        <v>14</v>
      </c>
      <c r="B1250" s="15"/>
    </row>
    <row r="1251" spans="1:4" ht="13.8" x14ac:dyDescent="0.25">
      <c r="A1251" s="14" t="s">
        <v>13</v>
      </c>
      <c r="B1251" s="13"/>
    </row>
    <row r="1252" spans="1:4" x14ac:dyDescent="0.25">
      <c r="A1252" s="6"/>
      <c r="B1252" s="5"/>
    </row>
    <row r="1253" spans="1:4" x14ac:dyDescent="0.25">
      <c r="A1253" s="12" t="s">
        <v>12</v>
      </c>
      <c r="B1253" s="11" t="str">
        <f>+'[1]FORM XIII'!$F$6</f>
        <v>SORYE CONTRUCTION</v>
      </c>
    </row>
    <row r="1254" spans="1:4" x14ac:dyDescent="0.25">
      <c r="A1254" s="7" t="s">
        <v>11</v>
      </c>
      <c r="B1254" s="7" t="str">
        <f>VLOOKUP(D1249,'[1] Wages Sheet FORM XVII'!A$11:U1332,3,0)</f>
        <v>KHILENDRA</v>
      </c>
    </row>
    <row r="1255" spans="1:4" x14ac:dyDescent="0.25">
      <c r="A1255" s="7" t="s">
        <v>10</v>
      </c>
      <c r="B1255" s="10" t="s">
        <v>9</v>
      </c>
    </row>
    <row r="1256" spans="1:4" x14ac:dyDescent="0.25">
      <c r="A1256" s="7" t="s">
        <v>8</v>
      </c>
      <c r="B1256" s="9">
        <v>45870</v>
      </c>
    </row>
    <row r="1257" spans="1:4" x14ac:dyDescent="0.25">
      <c r="A1257" s="7" t="s">
        <v>7</v>
      </c>
      <c r="B1257" s="8">
        <f>VLOOKUP(D1249,'[1] Wages Sheet FORM XVII'!A$11:U1332,11,0)</f>
        <v>23</v>
      </c>
    </row>
    <row r="1258" spans="1:4" x14ac:dyDescent="0.25">
      <c r="A1258" s="7" t="s">
        <v>6</v>
      </c>
      <c r="B1258" s="7">
        <v>0</v>
      </c>
    </row>
    <row r="1259" spans="1:4" x14ac:dyDescent="0.25">
      <c r="A1259" s="7" t="s">
        <v>5</v>
      </c>
      <c r="B1259" s="7">
        <f>VLOOKUP(D1249,'[1] Wages Sheet FORM XVII'!A$11:U1332,12,0)</f>
        <v>480.77</v>
      </c>
    </row>
    <row r="1260" spans="1:4" x14ac:dyDescent="0.25">
      <c r="A1260" s="7" t="s">
        <v>4</v>
      </c>
      <c r="B1260" s="7" t="e">
        <f>VLOOKUP(D1249,'[1] Wages Sheet FORM XVII'!A$11:U$34,15,0)</f>
        <v>#N/A</v>
      </c>
    </row>
    <row r="1261" spans="1:4" x14ac:dyDescent="0.25">
      <c r="A1261" s="7" t="s">
        <v>3</v>
      </c>
      <c r="B1261" s="8">
        <f>VLOOKUP(D1249,'[1] Wages Sheet FORM XVII'!A$11:U1332,17,0)</f>
        <v>1327</v>
      </c>
    </row>
    <row r="1262" spans="1:4" x14ac:dyDescent="0.25">
      <c r="A1262" s="7" t="s">
        <v>2</v>
      </c>
      <c r="B1262" s="8">
        <f>VLOOKUP(D1249,'[1] Wages Sheet FORM XVII'!A$11:U1332,20,0)</f>
        <v>1410</v>
      </c>
    </row>
    <row r="1263" spans="1:4" x14ac:dyDescent="0.25">
      <c r="A1263" s="7" t="s">
        <v>1</v>
      </c>
      <c r="B1263" s="8">
        <f>VLOOKUP(D1249,'[1] Wages Sheet FORM XVII'!A$11:U1332,21,0)</f>
        <v>9707.7099999999991</v>
      </c>
    </row>
    <row r="1264" spans="1:4" x14ac:dyDescent="0.25">
      <c r="A1264" s="7"/>
      <c r="B1264" s="7"/>
    </row>
    <row r="1265" spans="1:4" x14ac:dyDescent="0.25">
      <c r="A1265" s="6"/>
      <c r="B1265" s="5" t="s">
        <v>0</v>
      </c>
    </row>
    <row r="1266" spans="1:4" x14ac:dyDescent="0.25">
      <c r="A1266" s="4"/>
      <c r="B1266" s="3"/>
    </row>
    <row r="1271" spans="1:4" ht="13.8" x14ac:dyDescent="0.25">
      <c r="A1271" s="18" t="s">
        <v>15</v>
      </c>
      <c r="B1271" s="17"/>
      <c r="D1271" s="1">
        <f>+D1249+1</f>
        <v>59</v>
      </c>
    </row>
    <row r="1272" spans="1:4" ht="13.8" x14ac:dyDescent="0.25">
      <c r="A1272" s="16" t="s">
        <v>14</v>
      </c>
      <c r="B1272" s="15"/>
    </row>
    <row r="1273" spans="1:4" ht="13.8" x14ac:dyDescent="0.25">
      <c r="A1273" s="14" t="s">
        <v>13</v>
      </c>
      <c r="B1273" s="13"/>
    </row>
    <row r="1274" spans="1:4" x14ac:dyDescent="0.25">
      <c r="A1274" s="6"/>
      <c r="B1274" s="5"/>
    </row>
    <row r="1275" spans="1:4" x14ac:dyDescent="0.25">
      <c r="A1275" s="12" t="s">
        <v>12</v>
      </c>
      <c r="B1275" s="11" t="str">
        <f>+'[1]FORM XIII'!$F$6</f>
        <v>SORYE CONTRUCTION</v>
      </c>
    </row>
    <row r="1276" spans="1:4" x14ac:dyDescent="0.25">
      <c r="A1276" s="7" t="s">
        <v>11</v>
      </c>
      <c r="B1276" s="7" t="str">
        <f>VLOOKUP(D1271,'[1] Wages Sheet FORM XVII'!A$11:U1354,3,0)</f>
        <v>ROHIT</v>
      </c>
    </row>
    <row r="1277" spans="1:4" x14ac:dyDescent="0.25">
      <c r="A1277" s="7" t="s">
        <v>10</v>
      </c>
      <c r="B1277" s="10" t="s">
        <v>9</v>
      </c>
    </row>
    <row r="1278" spans="1:4" x14ac:dyDescent="0.25">
      <c r="A1278" s="7" t="s">
        <v>8</v>
      </c>
      <c r="B1278" s="9">
        <v>45870</v>
      </c>
    </row>
    <row r="1279" spans="1:4" x14ac:dyDescent="0.25">
      <c r="A1279" s="7" t="s">
        <v>7</v>
      </c>
      <c r="B1279" s="8">
        <f>VLOOKUP(D1271,'[1] Wages Sheet FORM XVII'!A$11:U1354,11,0)</f>
        <v>26</v>
      </c>
    </row>
    <row r="1280" spans="1:4" x14ac:dyDescent="0.25">
      <c r="A1280" s="7" t="s">
        <v>6</v>
      </c>
      <c r="B1280" s="7">
        <v>0</v>
      </c>
    </row>
    <row r="1281" spans="1:4" x14ac:dyDescent="0.25">
      <c r="A1281" s="7" t="s">
        <v>5</v>
      </c>
      <c r="B1281" s="7">
        <f>VLOOKUP(D1271,'[1] Wages Sheet FORM XVII'!A$11:U1354,12,0)</f>
        <v>480.77</v>
      </c>
    </row>
    <row r="1282" spans="1:4" x14ac:dyDescent="0.25">
      <c r="A1282" s="7" t="s">
        <v>4</v>
      </c>
      <c r="B1282" s="7" t="e">
        <f>VLOOKUP(D1271,'[1] Wages Sheet FORM XVII'!A$11:U$34,15,0)</f>
        <v>#N/A</v>
      </c>
    </row>
    <row r="1283" spans="1:4" x14ac:dyDescent="0.25">
      <c r="A1283" s="7" t="s">
        <v>3</v>
      </c>
      <c r="B1283" s="8">
        <f>VLOOKUP(D1271,'[1] Wages Sheet FORM XVII'!A$11:U1354,17,0)</f>
        <v>1500</v>
      </c>
    </row>
    <row r="1284" spans="1:4" x14ac:dyDescent="0.25">
      <c r="A1284" s="7" t="s">
        <v>2</v>
      </c>
      <c r="B1284" s="8">
        <f>VLOOKUP(D1271,'[1] Wages Sheet FORM XVII'!A$11:U1354,20,0)</f>
        <v>1816</v>
      </c>
    </row>
    <row r="1285" spans="1:4" x14ac:dyDescent="0.25">
      <c r="A1285" s="7" t="s">
        <v>1</v>
      </c>
      <c r="B1285" s="8">
        <f>VLOOKUP(D1271,'[1] Wages Sheet FORM XVII'!A$11:U1354,21,0)</f>
        <v>13629.02</v>
      </c>
    </row>
    <row r="1286" spans="1:4" x14ac:dyDescent="0.25">
      <c r="A1286" s="7"/>
      <c r="B1286" s="7"/>
    </row>
    <row r="1287" spans="1:4" x14ac:dyDescent="0.25">
      <c r="A1287" s="6"/>
      <c r="B1287" s="5" t="s">
        <v>0</v>
      </c>
    </row>
    <row r="1288" spans="1:4" x14ac:dyDescent="0.25">
      <c r="A1288" s="4"/>
      <c r="B1288" s="3"/>
    </row>
    <row r="1293" spans="1:4" ht="13.8" x14ac:dyDescent="0.25">
      <c r="A1293" s="18" t="s">
        <v>15</v>
      </c>
      <c r="B1293" s="17"/>
      <c r="D1293" s="1">
        <f>+D1271+1</f>
        <v>60</v>
      </c>
    </row>
    <row r="1294" spans="1:4" ht="13.8" x14ac:dyDescent="0.25">
      <c r="A1294" s="16" t="s">
        <v>14</v>
      </c>
      <c r="B1294" s="15"/>
    </row>
    <row r="1295" spans="1:4" ht="13.8" x14ac:dyDescent="0.25">
      <c r="A1295" s="14" t="s">
        <v>13</v>
      </c>
      <c r="B1295" s="13"/>
    </row>
    <row r="1296" spans="1:4" x14ac:dyDescent="0.25">
      <c r="A1296" s="6"/>
      <c r="B1296" s="5"/>
    </row>
    <row r="1297" spans="1:2" x14ac:dyDescent="0.25">
      <c r="A1297" s="12" t="s">
        <v>12</v>
      </c>
      <c r="B1297" s="11" t="str">
        <f>+'[1]FORM XIII'!$F$6</f>
        <v>SORYE CONTRUCTION</v>
      </c>
    </row>
    <row r="1298" spans="1:2" x14ac:dyDescent="0.25">
      <c r="A1298" s="7" t="s">
        <v>11</v>
      </c>
      <c r="B1298" s="7" t="str">
        <f>VLOOKUP(D1293,'[1] Wages Sheet FORM XVII'!A$11:U1376,3,0)</f>
        <v>GAURAV</v>
      </c>
    </row>
    <row r="1299" spans="1:2" x14ac:dyDescent="0.25">
      <c r="A1299" s="7" t="s">
        <v>10</v>
      </c>
      <c r="B1299" s="10" t="s">
        <v>9</v>
      </c>
    </row>
    <row r="1300" spans="1:2" x14ac:dyDescent="0.25">
      <c r="A1300" s="7" t="s">
        <v>8</v>
      </c>
      <c r="B1300" s="9">
        <v>45870</v>
      </c>
    </row>
    <row r="1301" spans="1:2" x14ac:dyDescent="0.25">
      <c r="A1301" s="7" t="s">
        <v>7</v>
      </c>
      <c r="B1301" s="8">
        <f>VLOOKUP(D1293,'[1] Wages Sheet FORM XVII'!A$11:U1376,11,0)</f>
        <v>17</v>
      </c>
    </row>
    <row r="1302" spans="1:2" x14ac:dyDescent="0.25">
      <c r="A1302" s="7" t="s">
        <v>6</v>
      </c>
      <c r="B1302" s="7">
        <v>0</v>
      </c>
    </row>
    <row r="1303" spans="1:2" x14ac:dyDescent="0.25">
      <c r="A1303" s="7" t="s">
        <v>5</v>
      </c>
      <c r="B1303" s="7">
        <f>VLOOKUP(D1293,'[1] Wages Sheet FORM XVII'!A$11:U1376,12,0)</f>
        <v>480.77</v>
      </c>
    </row>
    <row r="1304" spans="1:2" x14ac:dyDescent="0.25">
      <c r="A1304" s="7" t="s">
        <v>4</v>
      </c>
      <c r="B1304" s="7" t="e">
        <f>VLOOKUP(D1293,'[1] Wages Sheet FORM XVII'!A$11:U$34,15,0)</f>
        <v>#N/A</v>
      </c>
    </row>
    <row r="1305" spans="1:2" x14ac:dyDescent="0.25">
      <c r="A1305" s="7" t="s">
        <v>3</v>
      </c>
      <c r="B1305" s="8">
        <f>VLOOKUP(D1293,'[1] Wages Sheet FORM XVII'!A$11:U1376,17,0)</f>
        <v>981</v>
      </c>
    </row>
    <row r="1306" spans="1:2" x14ac:dyDescent="0.25">
      <c r="A1306" s="7" t="s">
        <v>2</v>
      </c>
      <c r="B1306" s="8">
        <f>VLOOKUP(D1293,'[1] Wages Sheet FORM XVII'!A$11:U1376,20,0)</f>
        <v>1044</v>
      </c>
    </row>
    <row r="1307" spans="1:2" x14ac:dyDescent="0.25">
      <c r="A1307" s="7" t="s">
        <v>1</v>
      </c>
      <c r="B1307" s="8">
        <f>VLOOKUP(D1293,'[1] Wages Sheet FORM XVII'!A$11:U1376,21,0)</f>
        <v>7369.09</v>
      </c>
    </row>
    <row r="1308" spans="1:2" x14ac:dyDescent="0.25">
      <c r="A1308" s="7"/>
      <c r="B1308" s="7"/>
    </row>
    <row r="1309" spans="1:2" x14ac:dyDescent="0.25">
      <c r="A1309" s="6"/>
      <c r="B1309" s="5" t="s">
        <v>0</v>
      </c>
    </row>
    <row r="1310" spans="1:2" x14ac:dyDescent="0.25">
      <c r="A1310" s="4"/>
      <c r="B1310" s="3"/>
    </row>
    <row r="1315" spans="1:4" ht="13.8" x14ac:dyDescent="0.25">
      <c r="A1315" s="18" t="s">
        <v>15</v>
      </c>
      <c r="B1315" s="17"/>
      <c r="C1315" s="19"/>
      <c r="D1315" s="1">
        <f>+D1293+1</f>
        <v>61</v>
      </c>
    </row>
    <row r="1316" spans="1:4" ht="13.8" x14ac:dyDescent="0.25">
      <c r="A1316" s="16" t="s">
        <v>14</v>
      </c>
      <c r="B1316" s="15"/>
      <c r="C1316" s="19"/>
    </row>
    <row r="1317" spans="1:4" ht="13.8" x14ac:dyDescent="0.25">
      <c r="A1317" s="14" t="s">
        <v>13</v>
      </c>
      <c r="B1317" s="13"/>
      <c r="C1317" s="19"/>
    </row>
    <row r="1318" spans="1:4" x14ac:dyDescent="0.25">
      <c r="A1318" s="6"/>
      <c r="B1318" s="5"/>
      <c r="C1318" s="19"/>
    </row>
    <row r="1319" spans="1:4" x14ac:dyDescent="0.25">
      <c r="A1319" s="12" t="s">
        <v>12</v>
      </c>
      <c r="B1319" s="11" t="str">
        <f>+'[1]FORM XIII'!$F$6</f>
        <v>SORYE CONTRUCTION</v>
      </c>
      <c r="C1319" s="19"/>
    </row>
    <row r="1320" spans="1:4" x14ac:dyDescent="0.25">
      <c r="A1320" s="7" t="s">
        <v>11</v>
      </c>
      <c r="B1320" s="7" t="str">
        <f>VLOOKUP(D1315,'[1] Wages Sheet FORM XVII'!A$11:U1398,3,0)</f>
        <v>BHAWAN SINGH</v>
      </c>
      <c r="C1320" s="19"/>
    </row>
    <row r="1321" spans="1:4" x14ac:dyDescent="0.25">
      <c r="A1321" s="7" t="s">
        <v>10</v>
      </c>
      <c r="B1321" s="10" t="s">
        <v>9</v>
      </c>
      <c r="C1321" s="19"/>
    </row>
    <row r="1322" spans="1:4" x14ac:dyDescent="0.25">
      <c r="A1322" s="7" t="s">
        <v>8</v>
      </c>
      <c r="B1322" s="9">
        <v>45870</v>
      </c>
      <c r="C1322" s="19"/>
    </row>
    <row r="1323" spans="1:4" x14ac:dyDescent="0.25">
      <c r="A1323" s="7" t="s">
        <v>7</v>
      </c>
      <c r="B1323" s="8">
        <f>VLOOKUP(D1315,'[1] Wages Sheet FORM XVII'!A$11:U1398,11,0)</f>
        <v>6</v>
      </c>
      <c r="C1323" s="19"/>
    </row>
    <row r="1324" spans="1:4" x14ac:dyDescent="0.25">
      <c r="A1324" s="7" t="s">
        <v>6</v>
      </c>
      <c r="B1324" s="7">
        <v>0</v>
      </c>
      <c r="C1324" s="19"/>
    </row>
    <row r="1325" spans="1:4" x14ac:dyDescent="0.25">
      <c r="A1325" s="7" t="s">
        <v>5</v>
      </c>
      <c r="B1325" s="7">
        <f>VLOOKUP(D1315,'[1] Wages Sheet FORM XVII'!A$11:U1398,12,0)</f>
        <v>480.77</v>
      </c>
      <c r="C1325" s="19"/>
    </row>
    <row r="1326" spans="1:4" x14ac:dyDescent="0.25">
      <c r="A1326" s="7" t="s">
        <v>4</v>
      </c>
      <c r="B1326" s="7" t="e">
        <f>VLOOKUP(D1315,'[1] Wages Sheet FORM XVII'!A$11:U$34,15,0)</f>
        <v>#N/A</v>
      </c>
      <c r="C1326" s="19"/>
    </row>
    <row r="1327" spans="1:4" x14ac:dyDescent="0.25">
      <c r="A1327" s="7" t="s">
        <v>3</v>
      </c>
      <c r="B1327" s="8">
        <f>VLOOKUP(D1315,'[1] Wages Sheet FORM XVII'!A$11:U1398,17,0)</f>
        <v>346</v>
      </c>
      <c r="C1327" s="19"/>
    </row>
    <row r="1328" spans="1:4" x14ac:dyDescent="0.25">
      <c r="A1328" s="7" t="s">
        <v>2</v>
      </c>
      <c r="B1328" s="8">
        <f>VLOOKUP(D1315,'[1] Wages Sheet FORM XVII'!A$11:U1398,20,0)</f>
        <v>368</v>
      </c>
      <c r="C1328" s="19"/>
    </row>
    <row r="1329" spans="1:4" x14ac:dyDescent="0.25">
      <c r="A1329" s="7" t="s">
        <v>1</v>
      </c>
      <c r="B1329" s="8">
        <f>VLOOKUP(D1315,'[1] Wages Sheet FORM XVII'!A$11:U1398,21,0)</f>
        <v>2516.62</v>
      </c>
      <c r="C1329" s="19"/>
    </row>
    <row r="1330" spans="1:4" x14ac:dyDescent="0.25">
      <c r="A1330" s="7"/>
      <c r="B1330" s="7"/>
      <c r="C1330" s="19"/>
    </row>
    <row r="1331" spans="1:4" x14ac:dyDescent="0.25">
      <c r="A1331" s="6"/>
      <c r="B1331" s="5" t="s">
        <v>0</v>
      </c>
      <c r="C1331" s="19"/>
    </row>
    <row r="1332" spans="1:4" x14ac:dyDescent="0.25">
      <c r="A1332" s="4"/>
      <c r="B1332" s="3"/>
      <c r="C1332" s="19"/>
    </row>
    <row r="1333" spans="1:4" x14ac:dyDescent="0.25">
      <c r="C1333" s="19"/>
    </row>
    <row r="1337" spans="1:4" ht="13.8" x14ac:dyDescent="0.25">
      <c r="A1337" s="18" t="s">
        <v>15</v>
      </c>
      <c r="B1337" s="17"/>
      <c r="D1337" s="1">
        <f>+D1315+1</f>
        <v>62</v>
      </c>
    </row>
    <row r="1338" spans="1:4" ht="13.8" x14ac:dyDescent="0.25">
      <c r="A1338" s="16" t="s">
        <v>14</v>
      </c>
      <c r="B1338" s="15"/>
    </row>
    <row r="1339" spans="1:4" ht="13.8" x14ac:dyDescent="0.25">
      <c r="A1339" s="14" t="s">
        <v>13</v>
      </c>
      <c r="B1339" s="13"/>
    </row>
    <row r="1340" spans="1:4" x14ac:dyDescent="0.25">
      <c r="A1340" s="6"/>
      <c r="B1340" s="5"/>
    </row>
    <row r="1341" spans="1:4" x14ac:dyDescent="0.25">
      <c r="A1341" s="12" t="s">
        <v>12</v>
      </c>
      <c r="B1341" s="11" t="str">
        <f>+'[1]FORM XIII'!$F$6</f>
        <v>SORYE CONTRUCTION</v>
      </c>
    </row>
    <row r="1342" spans="1:4" x14ac:dyDescent="0.25">
      <c r="A1342" s="7" t="s">
        <v>11</v>
      </c>
      <c r="B1342" s="7" t="str">
        <f>VLOOKUP(D1337,'[1] Wages Sheet FORM XVII'!A$11:U1420,3,0)</f>
        <v>AJAY</v>
      </c>
    </row>
    <row r="1343" spans="1:4" x14ac:dyDescent="0.25">
      <c r="A1343" s="7" t="s">
        <v>10</v>
      </c>
      <c r="B1343" s="10" t="s">
        <v>9</v>
      </c>
    </row>
    <row r="1344" spans="1:4" x14ac:dyDescent="0.25">
      <c r="A1344" s="7" t="s">
        <v>8</v>
      </c>
      <c r="B1344" s="9">
        <v>45870</v>
      </c>
    </row>
    <row r="1345" spans="1:4" x14ac:dyDescent="0.25">
      <c r="A1345" s="7" t="s">
        <v>7</v>
      </c>
      <c r="B1345" s="8">
        <f>VLOOKUP(D1337,'[1] Wages Sheet FORM XVII'!A$11:U1420,11,0)</f>
        <v>11</v>
      </c>
    </row>
    <row r="1346" spans="1:4" x14ac:dyDescent="0.25">
      <c r="A1346" s="7" t="s">
        <v>6</v>
      </c>
      <c r="B1346" s="7">
        <v>0</v>
      </c>
    </row>
    <row r="1347" spans="1:4" x14ac:dyDescent="0.25">
      <c r="A1347" s="7" t="s">
        <v>5</v>
      </c>
      <c r="B1347" s="7">
        <f>VLOOKUP(D1337,'[1] Wages Sheet FORM XVII'!A$11:U1420,12,0)</f>
        <v>542.04</v>
      </c>
    </row>
    <row r="1348" spans="1:4" x14ac:dyDescent="0.25">
      <c r="A1348" s="7" t="s">
        <v>4</v>
      </c>
      <c r="B1348" s="7" t="e">
        <f>VLOOKUP(D1337,'[1] Wages Sheet FORM XVII'!A$11:U$34,15,0)</f>
        <v>#N/A</v>
      </c>
    </row>
    <row r="1349" spans="1:4" x14ac:dyDescent="0.25">
      <c r="A1349" s="7" t="s">
        <v>3</v>
      </c>
      <c r="B1349" s="8">
        <f>VLOOKUP(D1337,'[1] Wages Sheet FORM XVII'!A$11:U1420,17,0)</f>
        <v>715</v>
      </c>
    </row>
    <row r="1350" spans="1:4" x14ac:dyDescent="0.25">
      <c r="A1350" s="7" t="s">
        <v>2</v>
      </c>
      <c r="B1350" s="8">
        <f>VLOOKUP(D1337,'[1] Wages Sheet FORM XVII'!A$11:U1420,20,0)</f>
        <v>762</v>
      </c>
    </row>
    <row r="1351" spans="1:4" x14ac:dyDescent="0.25">
      <c r="A1351" s="7" t="s">
        <v>1</v>
      </c>
      <c r="B1351" s="8">
        <f>VLOOKUP(D1337,'[1] Wages Sheet FORM XVII'!A$11:U1420,21,0)</f>
        <v>5539.44</v>
      </c>
    </row>
    <row r="1352" spans="1:4" x14ac:dyDescent="0.25">
      <c r="A1352" s="7"/>
      <c r="B1352" s="7"/>
    </row>
    <row r="1353" spans="1:4" x14ac:dyDescent="0.25">
      <c r="A1353" s="6"/>
      <c r="B1353" s="5" t="s">
        <v>0</v>
      </c>
    </row>
    <row r="1354" spans="1:4" x14ac:dyDescent="0.25">
      <c r="A1354" s="4"/>
      <c r="B1354" s="3"/>
    </row>
    <row r="1359" spans="1:4" ht="13.8" x14ac:dyDescent="0.25">
      <c r="A1359" s="18" t="s">
        <v>15</v>
      </c>
      <c r="B1359" s="17"/>
      <c r="D1359" s="1">
        <f>+D1337+1</f>
        <v>63</v>
      </c>
    </row>
    <row r="1360" spans="1:4" ht="13.8" x14ac:dyDescent="0.25">
      <c r="A1360" s="16" t="s">
        <v>14</v>
      </c>
      <c r="B1360" s="15"/>
    </row>
    <row r="1361" spans="1:2" ht="13.8" x14ac:dyDescent="0.25">
      <c r="A1361" s="14" t="s">
        <v>13</v>
      </c>
      <c r="B1361" s="13"/>
    </row>
    <row r="1362" spans="1:2" x14ac:dyDescent="0.25">
      <c r="A1362" s="6"/>
      <c r="B1362" s="5"/>
    </row>
    <row r="1363" spans="1:2" x14ac:dyDescent="0.25">
      <c r="A1363" s="12" t="s">
        <v>12</v>
      </c>
      <c r="B1363" s="11" t="str">
        <f>+'[1]FORM XIII'!$F$6</f>
        <v>SORYE CONTRUCTION</v>
      </c>
    </row>
    <row r="1364" spans="1:2" x14ac:dyDescent="0.25">
      <c r="A1364" s="7" t="s">
        <v>11</v>
      </c>
      <c r="B1364" s="7" t="str">
        <f>VLOOKUP(D1359,'[1] Wages Sheet FORM XVII'!A$11:U1442,3,0)</f>
        <v>NAUSHAD</v>
      </c>
    </row>
    <row r="1365" spans="1:2" x14ac:dyDescent="0.25">
      <c r="A1365" s="7" t="s">
        <v>10</v>
      </c>
      <c r="B1365" s="10" t="s">
        <v>9</v>
      </c>
    </row>
    <row r="1366" spans="1:2" x14ac:dyDescent="0.25">
      <c r="A1366" s="7" t="s">
        <v>8</v>
      </c>
      <c r="B1366" s="9">
        <v>45870</v>
      </c>
    </row>
    <row r="1367" spans="1:2" x14ac:dyDescent="0.25">
      <c r="A1367" s="7" t="s">
        <v>7</v>
      </c>
      <c r="B1367" s="8">
        <f>VLOOKUP(D1359,'[1] Wages Sheet FORM XVII'!A$11:U1442,11,0)</f>
        <v>15</v>
      </c>
    </row>
    <row r="1368" spans="1:2" x14ac:dyDescent="0.25">
      <c r="A1368" s="7" t="s">
        <v>6</v>
      </c>
      <c r="B1368" s="7">
        <v>0</v>
      </c>
    </row>
    <row r="1369" spans="1:2" x14ac:dyDescent="0.25">
      <c r="A1369" s="7" t="s">
        <v>5</v>
      </c>
      <c r="B1369" s="7">
        <f>VLOOKUP(D1359,'[1] Wages Sheet FORM XVII'!A$11:U1442,12,0)</f>
        <v>480.77</v>
      </c>
    </row>
    <row r="1370" spans="1:2" x14ac:dyDescent="0.25">
      <c r="A1370" s="7" t="s">
        <v>4</v>
      </c>
      <c r="B1370" s="7" t="e">
        <f>VLOOKUP(D1359,'[1] Wages Sheet FORM XVII'!A$11:U$34,15,0)</f>
        <v>#N/A</v>
      </c>
    </row>
    <row r="1371" spans="1:2" x14ac:dyDescent="0.25">
      <c r="A1371" s="7" t="s">
        <v>3</v>
      </c>
      <c r="B1371" s="8">
        <f>VLOOKUP(D1359,'[1] Wages Sheet FORM XVII'!A$11:U1442,17,0)</f>
        <v>865</v>
      </c>
    </row>
    <row r="1372" spans="1:2" x14ac:dyDescent="0.25">
      <c r="A1372" s="7" t="s">
        <v>2</v>
      </c>
      <c r="B1372" s="8">
        <f>VLOOKUP(D1359,'[1] Wages Sheet FORM XVII'!A$11:U1442,20,0)</f>
        <v>1019</v>
      </c>
    </row>
    <row r="1373" spans="1:2" x14ac:dyDescent="0.25">
      <c r="A1373" s="7" t="s">
        <v>1</v>
      </c>
      <c r="B1373" s="8">
        <f>VLOOKUP(D1359,'[1] Wages Sheet FORM XVII'!A$11:U1442,21,0)</f>
        <v>6192.5499999999993</v>
      </c>
    </row>
    <row r="1374" spans="1:2" x14ac:dyDescent="0.25">
      <c r="A1374" s="7"/>
      <c r="B1374" s="7"/>
    </row>
    <row r="1375" spans="1:2" x14ac:dyDescent="0.25">
      <c r="A1375" s="6"/>
      <c r="B1375" s="5" t="s">
        <v>0</v>
      </c>
    </row>
    <row r="1376" spans="1:2" x14ac:dyDescent="0.25">
      <c r="A1376" s="4"/>
      <c r="B1376" s="3"/>
    </row>
    <row r="1381" spans="1:4" ht="13.8" x14ac:dyDescent="0.25">
      <c r="A1381" s="18" t="s">
        <v>15</v>
      </c>
      <c r="B1381" s="17"/>
      <c r="D1381" s="1">
        <f>+D1359+1</f>
        <v>64</v>
      </c>
    </row>
    <row r="1382" spans="1:4" ht="13.8" x14ac:dyDescent="0.25">
      <c r="A1382" s="16" t="s">
        <v>14</v>
      </c>
      <c r="B1382" s="15"/>
    </row>
    <row r="1383" spans="1:4" ht="13.8" x14ac:dyDescent="0.25">
      <c r="A1383" s="14" t="s">
        <v>13</v>
      </c>
      <c r="B1383" s="13"/>
    </row>
    <row r="1384" spans="1:4" x14ac:dyDescent="0.25">
      <c r="A1384" s="6"/>
      <c r="B1384" s="5"/>
    </row>
    <row r="1385" spans="1:4" x14ac:dyDescent="0.25">
      <c r="A1385" s="12" t="s">
        <v>12</v>
      </c>
      <c r="B1385" s="11" t="str">
        <f>+'[1]FORM XIII'!$F$6</f>
        <v>SORYE CONTRUCTION</v>
      </c>
    </row>
    <row r="1386" spans="1:4" x14ac:dyDescent="0.25">
      <c r="A1386" s="7" t="s">
        <v>11</v>
      </c>
      <c r="B1386" s="7" t="str">
        <f>VLOOKUP(D1381,'[1] Wages Sheet FORM XVII'!A$11:U1464,3,0)</f>
        <v>AJAY KUMAR</v>
      </c>
    </row>
    <row r="1387" spans="1:4" x14ac:dyDescent="0.25">
      <c r="A1387" s="7" t="s">
        <v>10</v>
      </c>
      <c r="B1387" s="10" t="s">
        <v>9</v>
      </c>
    </row>
    <row r="1388" spans="1:4" x14ac:dyDescent="0.25">
      <c r="A1388" s="7" t="s">
        <v>8</v>
      </c>
      <c r="B1388" s="9">
        <v>45870</v>
      </c>
    </row>
    <row r="1389" spans="1:4" x14ac:dyDescent="0.25">
      <c r="A1389" s="7" t="s">
        <v>7</v>
      </c>
      <c r="B1389" s="8">
        <f>VLOOKUP(D1381,'[1] Wages Sheet FORM XVII'!A$11:U1464,11,0)</f>
        <v>1</v>
      </c>
    </row>
    <row r="1390" spans="1:4" x14ac:dyDescent="0.25">
      <c r="A1390" s="7" t="s">
        <v>6</v>
      </c>
      <c r="B1390" s="7">
        <v>0</v>
      </c>
    </row>
    <row r="1391" spans="1:4" x14ac:dyDescent="0.25">
      <c r="A1391" s="7" t="s">
        <v>5</v>
      </c>
      <c r="B1391" s="7">
        <f>VLOOKUP(D1381,'[1] Wages Sheet FORM XVII'!A$11:U1464,12,0)</f>
        <v>480.77</v>
      </c>
    </row>
    <row r="1392" spans="1:4" x14ac:dyDescent="0.25">
      <c r="A1392" s="7" t="s">
        <v>4</v>
      </c>
      <c r="B1392" s="7" t="e">
        <f>VLOOKUP(D1381,'[1] Wages Sheet FORM XVII'!A$11:U$34,15,0)</f>
        <v>#N/A</v>
      </c>
    </row>
    <row r="1393" spans="1:4" x14ac:dyDescent="0.25">
      <c r="A1393" s="7" t="s">
        <v>3</v>
      </c>
      <c r="B1393" s="8">
        <f>VLOOKUP(D1381,'[1] Wages Sheet FORM XVII'!A$11:U1464,17,0)</f>
        <v>58</v>
      </c>
    </row>
    <row r="1394" spans="1:4" x14ac:dyDescent="0.25">
      <c r="A1394" s="7" t="s">
        <v>2</v>
      </c>
      <c r="B1394" s="8">
        <f>VLOOKUP(D1381,'[1] Wages Sheet FORM XVII'!A$11:U1464,20,0)</f>
        <v>312</v>
      </c>
    </row>
    <row r="1395" spans="1:4" x14ac:dyDescent="0.25">
      <c r="A1395" s="7" t="s">
        <v>1</v>
      </c>
      <c r="B1395" s="8">
        <f>VLOOKUP(D1381,'[1] Wages Sheet FORM XVII'!A$11:U1464,21,0)</f>
        <v>168.76999999999998</v>
      </c>
    </row>
    <row r="1396" spans="1:4" x14ac:dyDescent="0.25">
      <c r="A1396" s="7"/>
      <c r="B1396" s="7"/>
    </row>
    <row r="1397" spans="1:4" x14ac:dyDescent="0.25">
      <c r="A1397" s="6"/>
      <c r="B1397" s="5" t="s">
        <v>0</v>
      </c>
    </row>
    <row r="1398" spans="1:4" x14ac:dyDescent="0.25">
      <c r="A1398" s="4"/>
      <c r="B1398" s="3"/>
    </row>
    <row r="1403" spans="1:4" ht="13.8" x14ac:dyDescent="0.25">
      <c r="A1403" s="18" t="s">
        <v>15</v>
      </c>
      <c r="B1403" s="17"/>
      <c r="C1403" s="19"/>
      <c r="D1403" s="1">
        <f>+D1381+1</f>
        <v>65</v>
      </c>
    </row>
    <row r="1404" spans="1:4" ht="13.8" x14ac:dyDescent="0.25">
      <c r="A1404" s="16" t="s">
        <v>14</v>
      </c>
      <c r="B1404" s="15"/>
      <c r="C1404" s="19"/>
    </row>
    <row r="1405" spans="1:4" ht="13.8" x14ac:dyDescent="0.25">
      <c r="A1405" s="14" t="s">
        <v>13</v>
      </c>
      <c r="B1405" s="13"/>
      <c r="C1405" s="19"/>
    </row>
    <row r="1406" spans="1:4" x14ac:dyDescent="0.25">
      <c r="A1406" s="6"/>
      <c r="B1406" s="5"/>
      <c r="C1406" s="19"/>
    </row>
    <row r="1407" spans="1:4" x14ac:dyDescent="0.25">
      <c r="A1407" s="12" t="s">
        <v>12</v>
      </c>
      <c r="B1407" s="11" t="str">
        <f>+'[1]FORM XIII'!$F$6</f>
        <v>SORYE CONTRUCTION</v>
      </c>
      <c r="C1407" s="19"/>
    </row>
    <row r="1408" spans="1:4" x14ac:dyDescent="0.25">
      <c r="A1408" s="7" t="s">
        <v>11</v>
      </c>
      <c r="B1408" s="7" t="str">
        <f>VLOOKUP(D1403,'[1] Wages Sheet FORM XVII'!A$11:U1486,3,0)</f>
        <v>RAKIB</v>
      </c>
      <c r="C1408" s="19"/>
    </row>
    <row r="1409" spans="1:3" x14ac:dyDescent="0.25">
      <c r="A1409" s="7" t="s">
        <v>10</v>
      </c>
      <c r="B1409" s="10" t="s">
        <v>9</v>
      </c>
      <c r="C1409" s="19"/>
    </row>
    <row r="1410" spans="1:3" x14ac:dyDescent="0.25">
      <c r="A1410" s="7" t="s">
        <v>8</v>
      </c>
      <c r="B1410" s="9">
        <v>45870</v>
      </c>
      <c r="C1410" s="19"/>
    </row>
    <row r="1411" spans="1:3" x14ac:dyDescent="0.25">
      <c r="A1411" s="7" t="s">
        <v>7</v>
      </c>
      <c r="B1411" s="8">
        <f>VLOOKUP(D1403,'[1] Wages Sheet FORM XVII'!A$11:U1486,11,0)</f>
        <v>27</v>
      </c>
      <c r="C1411" s="19"/>
    </row>
    <row r="1412" spans="1:3" x14ac:dyDescent="0.25">
      <c r="A1412" s="7" t="s">
        <v>6</v>
      </c>
      <c r="B1412" s="7">
        <v>0</v>
      </c>
      <c r="C1412" s="19"/>
    </row>
    <row r="1413" spans="1:3" x14ac:dyDescent="0.25">
      <c r="A1413" s="7" t="s">
        <v>5</v>
      </c>
      <c r="B1413" s="7">
        <f>VLOOKUP(D1403,'[1] Wages Sheet FORM XVII'!A$11:U1486,12,0)</f>
        <v>480.77</v>
      </c>
      <c r="C1413" s="19"/>
    </row>
    <row r="1414" spans="1:3" x14ac:dyDescent="0.25">
      <c r="A1414" s="7" t="s">
        <v>4</v>
      </c>
      <c r="B1414" s="7" t="e">
        <f>VLOOKUP(D1403,'[1] Wages Sheet FORM XVII'!A$11:U$34,15,0)</f>
        <v>#N/A</v>
      </c>
      <c r="C1414" s="19"/>
    </row>
    <row r="1415" spans="1:3" x14ac:dyDescent="0.25">
      <c r="A1415" s="7" t="s">
        <v>3</v>
      </c>
      <c r="B1415" s="8">
        <f>VLOOKUP(D1403,'[1] Wages Sheet FORM XVII'!A$11:U1486,17,0)</f>
        <v>1558</v>
      </c>
      <c r="C1415" s="19"/>
    </row>
    <row r="1416" spans="1:3" x14ac:dyDescent="0.25">
      <c r="A1416" s="7" t="s">
        <v>2</v>
      </c>
      <c r="B1416" s="8">
        <f>VLOOKUP(D1403,'[1] Wages Sheet FORM XVII'!A$11:U1486,20,0)</f>
        <v>1659</v>
      </c>
      <c r="C1416" s="19"/>
    </row>
    <row r="1417" spans="1:3" x14ac:dyDescent="0.25">
      <c r="A1417" s="7" t="s">
        <v>1</v>
      </c>
      <c r="B1417" s="8">
        <f>VLOOKUP(D1403,'[1] Wages Sheet FORM XVII'!A$11:U1486,21,0)</f>
        <v>11742.789999999999</v>
      </c>
      <c r="C1417" s="19"/>
    </row>
    <row r="1418" spans="1:3" x14ac:dyDescent="0.25">
      <c r="A1418" s="7"/>
      <c r="B1418" s="7"/>
      <c r="C1418" s="19"/>
    </row>
    <row r="1419" spans="1:3" x14ac:dyDescent="0.25">
      <c r="A1419" s="6"/>
      <c r="B1419" s="5" t="s">
        <v>0</v>
      </c>
      <c r="C1419" s="19"/>
    </row>
    <row r="1420" spans="1:3" x14ac:dyDescent="0.25">
      <c r="A1420" s="4"/>
      <c r="B1420" s="3"/>
      <c r="C1420" s="19"/>
    </row>
    <row r="1421" spans="1:3" x14ac:dyDescent="0.25">
      <c r="C1421" s="19"/>
    </row>
    <row r="1425" spans="1:4" ht="13.8" x14ac:dyDescent="0.25">
      <c r="A1425" s="18" t="s">
        <v>15</v>
      </c>
      <c r="B1425" s="17"/>
      <c r="D1425" s="1">
        <f>+D1403+1</f>
        <v>66</v>
      </c>
    </row>
    <row r="1426" spans="1:4" ht="13.8" x14ac:dyDescent="0.25">
      <c r="A1426" s="16" t="s">
        <v>14</v>
      </c>
      <c r="B1426" s="15"/>
    </row>
    <row r="1427" spans="1:4" ht="13.8" x14ac:dyDescent="0.25">
      <c r="A1427" s="14" t="s">
        <v>13</v>
      </c>
      <c r="B1427" s="13"/>
    </row>
    <row r="1428" spans="1:4" x14ac:dyDescent="0.25">
      <c r="A1428" s="6"/>
      <c r="B1428" s="5"/>
    </row>
    <row r="1429" spans="1:4" x14ac:dyDescent="0.25">
      <c r="A1429" s="12" t="s">
        <v>12</v>
      </c>
      <c r="B1429" s="11" t="str">
        <f>+'[1]FORM XIII'!$F$6</f>
        <v>SORYE CONTRUCTION</v>
      </c>
    </row>
    <row r="1430" spans="1:4" x14ac:dyDescent="0.25">
      <c r="A1430" s="7" t="s">
        <v>11</v>
      </c>
      <c r="B1430" s="7" t="str">
        <f>VLOOKUP(D1425,'[1] Wages Sheet FORM XVII'!A$11:U1508,3,0)</f>
        <v>VISHAL KUMAR</v>
      </c>
    </row>
    <row r="1431" spans="1:4" x14ac:dyDescent="0.25">
      <c r="A1431" s="7" t="s">
        <v>10</v>
      </c>
      <c r="B1431" s="10" t="s">
        <v>9</v>
      </c>
    </row>
    <row r="1432" spans="1:4" x14ac:dyDescent="0.25">
      <c r="A1432" s="7" t="s">
        <v>8</v>
      </c>
      <c r="B1432" s="9">
        <v>45870</v>
      </c>
    </row>
    <row r="1433" spans="1:4" x14ac:dyDescent="0.25">
      <c r="A1433" s="7" t="s">
        <v>7</v>
      </c>
      <c r="B1433" s="8">
        <f>VLOOKUP(D1425,'[1] Wages Sheet FORM XVII'!A$11:U1508,11,0)</f>
        <v>22</v>
      </c>
    </row>
    <row r="1434" spans="1:4" x14ac:dyDescent="0.25">
      <c r="A1434" s="7" t="s">
        <v>6</v>
      </c>
      <c r="B1434" s="7">
        <v>0</v>
      </c>
    </row>
    <row r="1435" spans="1:4" x14ac:dyDescent="0.25">
      <c r="A1435" s="7" t="s">
        <v>5</v>
      </c>
      <c r="B1435" s="7">
        <f>VLOOKUP(D1425,'[1] Wages Sheet FORM XVII'!A$11:U1508,12,0)</f>
        <v>480.77</v>
      </c>
    </row>
    <row r="1436" spans="1:4" x14ac:dyDescent="0.25">
      <c r="A1436" s="7" t="s">
        <v>4</v>
      </c>
      <c r="B1436" s="7" t="e">
        <f>VLOOKUP(D1425,'[1] Wages Sheet FORM XVII'!A$11:U$34,15,0)</f>
        <v>#N/A</v>
      </c>
    </row>
    <row r="1437" spans="1:4" x14ac:dyDescent="0.25">
      <c r="A1437" s="7" t="s">
        <v>3</v>
      </c>
      <c r="B1437" s="8">
        <f>VLOOKUP(D1425,'[1] Wages Sheet FORM XVII'!A$11:U1508,17,0)</f>
        <v>1269</v>
      </c>
    </row>
    <row r="1438" spans="1:4" x14ac:dyDescent="0.25">
      <c r="A1438" s="7" t="s">
        <v>2</v>
      </c>
      <c r="B1438" s="8">
        <f>VLOOKUP(D1425,'[1] Wages Sheet FORM XVII'!A$11:U1508,20,0)</f>
        <v>1380</v>
      </c>
    </row>
    <row r="1439" spans="1:4" x14ac:dyDescent="0.25">
      <c r="A1439" s="7" t="s">
        <v>1</v>
      </c>
      <c r="B1439" s="8">
        <f>VLOOKUP(D1425,'[1] Wages Sheet FORM XVII'!A$11:U1508,21,0)</f>
        <v>10218.939999999999</v>
      </c>
    </row>
    <row r="1440" spans="1:4" x14ac:dyDescent="0.25">
      <c r="A1440" s="7"/>
      <c r="B1440" s="7"/>
    </row>
    <row r="1441" spans="1:4" x14ac:dyDescent="0.25">
      <c r="A1441" s="6"/>
      <c r="B1441" s="5" t="s">
        <v>0</v>
      </c>
    </row>
    <row r="1442" spans="1:4" x14ac:dyDescent="0.25">
      <c r="A1442" s="4"/>
      <c r="B1442" s="3"/>
    </row>
    <row r="1447" spans="1:4" ht="13.8" x14ac:dyDescent="0.25">
      <c r="A1447" s="18" t="s">
        <v>15</v>
      </c>
      <c r="B1447" s="17"/>
      <c r="D1447" s="1">
        <f>+D1425+1</f>
        <v>67</v>
      </c>
    </row>
    <row r="1448" spans="1:4" ht="13.8" x14ac:dyDescent="0.25">
      <c r="A1448" s="16" t="s">
        <v>14</v>
      </c>
      <c r="B1448" s="15"/>
    </row>
    <row r="1449" spans="1:4" ht="13.8" x14ac:dyDescent="0.25">
      <c r="A1449" s="14" t="s">
        <v>13</v>
      </c>
      <c r="B1449" s="13"/>
    </row>
    <row r="1450" spans="1:4" x14ac:dyDescent="0.25">
      <c r="A1450" s="6"/>
      <c r="B1450" s="5"/>
    </row>
    <row r="1451" spans="1:4" x14ac:dyDescent="0.25">
      <c r="A1451" s="12" t="s">
        <v>12</v>
      </c>
      <c r="B1451" s="11" t="str">
        <f>+'[1]FORM XIII'!$F$6</f>
        <v>SORYE CONTRUCTION</v>
      </c>
    </row>
    <row r="1452" spans="1:4" x14ac:dyDescent="0.25">
      <c r="A1452" s="7" t="s">
        <v>11</v>
      </c>
      <c r="B1452" s="7" t="str">
        <f>VLOOKUP(D1447,'[1] Wages Sheet FORM XVII'!A$11:U1530,3,0)</f>
        <v>ABHISHEK</v>
      </c>
    </row>
    <row r="1453" spans="1:4" x14ac:dyDescent="0.25">
      <c r="A1453" s="7" t="s">
        <v>10</v>
      </c>
      <c r="B1453" s="10" t="s">
        <v>9</v>
      </c>
    </row>
    <row r="1454" spans="1:4" x14ac:dyDescent="0.25">
      <c r="A1454" s="7" t="s">
        <v>8</v>
      </c>
      <c r="B1454" s="9">
        <v>45870</v>
      </c>
    </row>
    <row r="1455" spans="1:4" x14ac:dyDescent="0.25">
      <c r="A1455" s="7" t="s">
        <v>7</v>
      </c>
      <c r="B1455" s="8">
        <f>VLOOKUP(D1447,'[1] Wages Sheet FORM XVII'!A$11:U1530,11,0)</f>
        <v>20</v>
      </c>
    </row>
    <row r="1456" spans="1:4" x14ac:dyDescent="0.25">
      <c r="A1456" s="7" t="s">
        <v>6</v>
      </c>
      <c r="B1456" s="7">
        <v>0</v>
      </c>
    </row>
    <row r="1457" spans="1:4" x14ac:dyDescent="0.25">
      <c r="A1457" s="7" t="s">
        <v>5</v>
      </c>
      <c r="B1457" s="7">
        <f>VLOOKUP(D1447,'[1] Wages Sheet FORM XVII'!A$11:U1530,12,0)</f>
        <v>480.77</v>
      </c>
    </row>
    <row r="1458" spans="1:4" x14ac:dyDescent="0.25">
      <c r="A1458" s="7" t="s">
        <v>4</v>
      </c>
      <c r="B1458" s="7" t="e">
        <f>VLOOKUP(D1447,'[1] Wages Sheet FORM XVII'!A$11:U$34,15,0)</f>
        <v>#N/A</v>
      </c>
    </row>
    <row r="1459" spans="1:4" x14ac:dyDescent="0.25">
      <c r="A1459" s="7" t="s">
        <v>3</v>
      </c>
      <c r="B1459" s="8">
        <f>VLOOKUP(D1447,'[1] Wages Sheet FORM XVII'!A$11:U1530,17,0)</f>
        <v>1154</v>
      </c>
    </row>
    <row r="1460" spans="1:4" x14ac:dyDescent="0.25">
      <c r="A1460" s="7" t="s">
        <v>2</v>
      </c>
      <c r="B1460" s="8">
        <f>VLOOKUP(D1447,'[1] Wages Sheet FORM XVII'!A$11:U1530,20,0)</f>
        <v>1386</v>
      </c>
    </row>
    <row r="1461" spans="1:4" x14ac:dyDescent="0.25">
      <c r="A1461" s="7" t="s">
        <v>1</v>
      </c>
      <c r="B1461" s="8">
        <f>VLOOKUP(D1447,'[1] Wages Sheet FORM XVII'!A$11:U1530,21,0)</f>
        <v>9551.4</v>
      </c>
    </row>
    <row r="1462" spans="1:4" x14ac:dyDescent="0.25">
      <c r="A1462" s="7"/>
      <c r="B1462" s="7"/>
    </row>
    <row r="1463" spans="1:4" x14ac:dyDescent="0.25">
      <c r="A1463" s="6"/>
      <c r="B1463" s="5" t="s">
        <v>0</v>
      </c>
    </row>
    <row r="1464" spans="1:4" x14ac:dyDescent="0.25">
      <c r="A1464" s="4"/>
      <c r="B1464" s="3"/>
    </row>
    <row r="1469" spans="1:4" ht="13.8" x14ac:dyDescent="0.25">
      <c r="A1469" s="18" t="s">
        <v>15</v>
      </c>
      <c r="B1469" s="17"/>
      <c r="D1469" s="1">
        <f>+D1447+1</f>
        <v>68</v>
      </c>
    </row>
    <row r="1470" spans="1:4" ht="13.8" x14ac:dyDescent="0.25">
      <c r="A1470" s="16" t="s">
        <v>14</v>
      </c>
      <c r="B1470" s="15"/>
    </row>
    <row r="1471" spans="1:4" ht="13.8" x14ac:dyDescent="0.25">
      <c r="A1471" s="14" t="s">
        <v>13</v>
      </c>
      <c r="B1471" s="13"/>
    </row>
    <row r="1472" spans="1:4" x14ac:dyDescent="0.25">
      <c r="A1472" s="6"/>
      <c r="B1472" s="5"/>
    </row>
    <row r="1473" spans="1:2" x14ac:dyDescent="0.25">
      <c r="A1473" s="12" t="s">
        <v>12</v>
      </c>
      <c r="B1473" s="11" t="str">
        <f>+'[1]FORM XIII'!$F$6</f>
        <v>SORYE CONTRUCTION</v>
      </c>
    </row>
    <row r="1474" spans="1:2" x14ac:dyDescent="0.25">
      <c r="A1474" s="7" t="s">
        <v>11</v>
      </c>
      <c r="B1474" s="7" t="str">
        <f>VLOOKUP(D1469,'[1] Wages Sheet FORM XVII'!A$11:U1552,3,0)</f>
        <v>RAVI</v>
      </c>
    </row>
    <row r="1475" spans="1:2" x14ac:dyDescent="0.25">
      <c r="A1475" s="7" t="s">
        <v>10</v>
      </c>
      <c r="B1475" s="10" t="s">
        <v>9</v>
      </c>
    </row>
    <row r="1476" spans="1:2" x14ac:dyDescent="0.25">
      <c r="A1476" s="7" t="s">
        <v>8</v>
      </c>
      <c r="B1476" s="9">
        <v>45870</v>
      </c>
    </row>
    <row r="1477" spans="1:2" x14ac:dyDescent="0.25">
      <c r="A1477" s="7" t="s">
        <v>7</v>
      </c>
      <c r="B1477" s="8">
        <f>VLOOKUP(D1469,'[1] Wages Sheet FORM XVII'!A$11:U1552,11,0)</f>
        <v>21</v>
      </c>
    </row>
    <row r="1478" spans="1:2" x14ac:dyDescent="0.25">
      <c r="A1478" s="7" t="s">
        <v>6</v>
      </c>
      <c r="B1478" s="7">
        <v>0</v>
      </c>
    </row>
    <row r="1479" spans="1:2" x14ac:dyDescent="0.25">
      <c r="A1479" s="7" t="s">
        <v>5</v>
      </c>
      <c r="B1479" s="7">
        <f>VLOOKUP(D1469,'[1] Wages Sheet FORM XVII'!A$11:U1552,12,0)</f>
        <v>480.77</v>
      </c>
    </row>
    <row r="1480" spans="1:2" x14ac:dyDescent="0.25">
      <c r="A1480" s="7" t="s">
        <v>4</v>
      </c>
      <c r="B1480" s="7" t="e">
        <f>VLOOKUP(D1469,'[1] Wages Sheet FORM XVII'!A$11:U$34,15,0)</f>
        <v>#N/A</v>
      </c>
    </row>
    <row r="1481" spans="1:2" x14ac:dyDescent="0.25">
      <c r="A1481" s="7" t="s">
        <v>3</v>
      </c>
      <c r="B1481" s="8">
        <f>VLOOKUP(D1469,'[1] Wages Sheet FORM XVII'!A$11:U1552,17,0)</f>
        <v>1212</v>
      </c>
    </row>
    <row r="1482" spans="1:2" x14ac:dyDescent="0.25">
      <c r="A1482" s="7" t="s">
        <v>2</v>
      </c>
      <c r="B1482" s="8">
        <f>VLOOKUP(D1469,'[1] Wages Sheet FORM XVII'!A$11:U1552,20,0)</f>
        <v>1702</v>
      </c>
    </row>
    <row r="1483" spans="1:2" x14ac:dyDescent="0.25">
      <c r="A1483" s="7" t="s">
        <v>1</v>
      </c>
      <c r="B1483" s="8">
        <f>VLOOKUP(D1469,'[1] Wages Sheet FORM XVII'!A$11:U1552,21,0)</f>
        <v>8755.17</v>
      </c>
    </row>
    <row r="1484" spans="1:2" x14ac:dyDescent="0.25">
      <c r="A1484" s="7"/>
      <c r="B1484" s="7"/>
    </row>
    <row r="1485" spans="1:2" x14ac:dyDescent="0.25">
      <c r="A1485" s="6"/>
      <c r="B1485" s="5" t="s">
        <v>0</v>
      </c>
    </row>
    <row r="1486" spans="1:2" x14ac:dyDescent="0.25">
      <c r="A1486" s="4"/>
      <c r="B1486" s="3"/>
    </row>
    <row r="1491" spans="1:4" ht="13.8" x14ac:dyDescent="0.25">
      <c r="A1491" s="18" t="s">
        <v>15</v>
      </c>
      <c r="B1491" s="17"/>
      <c r="C1491" s="19"/>
      <c r="D1491" s="1">
        <f>+D1469+1</f>
        <v>69</v>
      </c>
    </row>
    <row r="1492" spans="1:4" ht="13.8" x14ac:dyDescent="0.25">
      <c r="A1492" s="16" t="s">
        <v>14</v>
      </c>
      <c r="B1492" s="15"/>
      <c r="C1492" s="19"/>
    </row>
    <row r="1493" spans="1:4" ht="13.8" x14ac:dyDescent="0.25">
      <c r="A1493" s="14" t="s">
        <v>13</v>
      </c>
      <c r="B1493" s="13"/>
      <c r="C1493" s="19"/>
    </row>
    <row r="1494" spans="1:4" x14ac:dyDescent="0.25">
      <c r="A1494" s="6"/>
      <c r="B1494" s="5"/>
      <c r="C1494" s="19"/>
    </row>
    <row r="1495" spans="1:4" x14ac:dyDescent="0.25">
      <c r="A1495" s="12" t="s">
        <v>12</v>
      </c>
      <c r="B1495" s="11" t="str">
        <f>+'[1]FORM XIII'!$F$6</f>
        <v>SORYE CONTRUCTION</v>
      </c>
      <c r="C1495" s="19"/>
    </row>
    <row r="1496" spans="1:4" x14ac:dyDescent="0.25">
      <c r="A1496" s="7" t="s">
        <v>11</v>
      </c>
      <c r="B1496" s="7" t="str">
        <f>VLOOKUP(D1491,'[1] Wages Sheet FORM XVII'!A$11:U1574,3,0)</f>
        <v>UJAYFA</v>
      </c>
      <c r="C1496" s="19"/>
    </row>
    <row r="1497" spans="1:4" x14ac:dyDescent="0.25">
      <c r="A1497" s="7" t="s">
        <v>10</v>
      </c>
      <c r="B1497" s="10" t="s">
        <v>9</v>
      </c>
      <c r="C1497" s="19"/>
    </row>
    <row r="1498" spans="1:4" x14ac:dyDescent="0.25">
      <c r="A1498" s="7" t="s">
        <v>8</v>
      </c>
      <c r="B1498" s="9">
        <v>45870</v>
      </c>
      <c r="C1498" s="19"/>
    </row>
    <row r="1499" spans="1:4" x14ac:dyDescent="0.25">
      <c r="A1499" s="7" t="s">
        <v>7</v>
      </c>
      <c r="B1499" s="8">
        <f>VLOOKUP(D1491,'[1] Wages Sheet FORM XVII'!A$11:U1574,11,0)</f>
        <v>27</v>
      </c>
      <c r="C1499" s="19"/>
    </row>
    <row r="1500" spans="1:4" x14ac:dyDescent="0.25">
      <c r="A1500" s="7" t="s">
        <v>6</v>
      </c>
      <c r="B1500" s="7">
        <v>0</v>
      </c>
      <c r="C1500" s="19"/>
    </row>
    <row r="1501" spans="1:4" x14ac:dyDescent="0.25">
      <c r="A1501" s="7" t="s">
        <v>5</v>
      </c>
      <c r="B1501" s="7">
        <f>VLOOKUP(D1491,'[1] Wages Sheet FORM XVII'!A$11:U1574,12,0)</f>
        <v>480.77</v>
      </c>
      <c r="C1501" s="19"/>
    </row>
    <row r="1502" spans="1:4" x14ac:dyDescent="0.25">
      <c r="A1502" s="7" t="s">
        <v>4</v>
      </c>
      <c r="B1502" s="7" t="e">
        <f>VLOOKUP(D1491,'[1] Wages Sheet FORM XVII'!A$11:U$34,15,0)</f>
        <v>#N/A</v>
      </c>
      <c r="C1502" s="19"/>
    </row>
    <row r="1503" spans="1:4" x14ac:dyDescent="0.25">
      <c r="A1503" s="7" t="s">
        <v>3</v>
      </c>
      <c r="B1503" s="8">
        <f>VLOOKUP(D1491,'[1] Wages Sheet FORM XVII'!A$11:U1574,17,0)</f>
        <v>1558</v>
      </c>
      <c r="C1503" s="19"/>
    </row>
    <row r="1504" spans="1:4" x14ac:dyDescent="0.25">
      <c r="A1504" s="7" t="s">
        <v>2</v>
      </c>
      <c r="B1504" s="8">
        <f>VLOOKUP(D1491,'[1] Wages Sheet FORM XVII'!A$11:U1574,20,0)</f>
        <v>1709</v>
      </c>
      <c r="C1504" s="19"/>
    </row>
    <row r="1505" spans="1:4" x14ac:dyDescent="0.25">
      <c r="A1505" s="7" t="s">
        <v>1</v>
      </c>
      <c r="B1505" s="8">
        <f>VLOOKUP(D1491,'[1] Wages Sheet FORM XVII'!A$11:U1574,21,0)</f>
        <v>11692.789999999999</v>
      </c>
      <c r="C1505" s="19"/>
    </row>
    <row r="1506" spans="1:4" x14ac:dyDescent="0.25">
      <c r="A1506" s="7"/>
      <c r="B1506" s="7"/>
      <c r="C1506" s="19"/>
    </row>
    <row r="1507" spans="1:4" x14ac:dyDescent="0.25">
      <c r="A1507" s="6"/>
      <c r="B1507" s="5" t="s">
        <v>0</v>
      </c>
      <c r="C1507" s="19"/>
    </row>
    <row r="1508" spans="1:4" x14ac:dyDescent="0.25">
      <c r="A1508" s="4"/>
      <c r="B1508" s="3"/>
      <c r="C1508" s="19"/>
    </row>
    <row r="1509" spans="1:4" x14ac:dyDescent="0.25">
      <c r="C1509" s="19"/>
    </row>
    <row r="1513" spans="1:4" ht="13.8" x14ac:dyDescent="0.25">
      <c r="A1513" s="18" t="s">
        <v>15</v>
      </c>
      <c r="B1513" s="17"/>
      <c r="D1513" s="1">
        <f>+D1491+1</f>
        <v>70</v>
      </c>
    </row>
    <row r="1514" spans="1:4" ht="13.8" x14ac:dyDescent="0.25">
      <c r="A1514" s="16" t="s">
        <v>14</v>
      </c>
      <c r="B1514" s="15"/>
    </row>
    <row r="1515" spans="1:4" ht="13.8" x14ac:dyDescent="0.25">
      <c r="A1515" s="14" t="s">
        <v>13</v>
      </c>
      <c r="B1515" s="13"/>
    </row>
    <row r="1516" spans="1:4" x14ac:dyDescent="0.25">
      <c r="A1516" s="6"/>
      <c r="B1516" s="5"/>
    </row>
    <row r="1517" spans="1:4" x14ac:dyDescent="0.25">
      <c r="A1517" s="12" t="s">
        <v>12</v>
      </c>
      <c r="B1517" s="11" t="str">
        <f>+'[1]FORM XIII'!$F$6</f>
        <v>SORYE CONTRUCTION</v>
      </c>
    </row>
    <row r="1518" spans="1:4" x14ac:dyDescent="0.25">
      <c r="A1518" s="7" t="s">
        <v>11</v>
      </c>
      <c r="B1518" s="7" t="str">
        <f>VLOOKUP(D1513,'[1] Wages Sheet FORM XVII'!A$11:U1596,3,0)</f>
        <v>SAURABH</v>
      </c>
    </row>
    <row r="1519" spans="1:4" x14ac:dyDescent="0.25">
      <c r="A1519" s="7" t="s">
        <v>10</v>
      </c>
      <c r="B1519" s="10" t="s">
        <v>9</v>
      </c>
    </row>
    <row r="1520" spans="1:4" x14ac:dyDescent="0.25">
      <c r="A1520" s="7" t="s">
        <v>8</v>
      </c>
      <c r="B1520" s="9">
        <v>45870</v>
      </c>
    </row>
    <row r="1521" spans="1:4" x14ac:dyDescent="0.25">
      <c r="A1521" s="7" t="s">
        <v>7</v>
      </c>
      <c r="B1521" s="8">
        <f>VLOOKUP(D1513,'[1] Wages Sheet FORM XVII'!A$11:U1596,11,0)</f>
        <v>22</v>
      </c>
    </row>
    <row r="1522" spans="1:4" x14ac:dyDescent="0.25">
      <c r="A1522" s="7" t="s">
        <v>6</v>
      </c>
      <c r="B1522" s="7">
        <v>0</v>
      </c>
    </row>
    <row r="1523" spans="1:4" x14ac:dyDescent="0.25">
      <c r="A1523" s="7" t="s">
        <v>5</v>
      </c>
      <c r="B1523" s="7">
        <f>VLOOKUP(D1513,'[1] Wages Sheet FORM XVII'!A$11:U1596,12,0)</f>
        <v>480.77</v>
      </c>
    </row>
    <row r="1524" spans="1:4" x14ac:dyDescent="0.25">
      <c r="A1524" s="7" t="s">
        <v>4</v>
      </c>
      <c r="B1524" s="7" t="e">
        <f>VLOOKUP(D1513,'[1] Wages Sheet FORM XVII'!A$11:U$34,15,0)</f>
        <v>#N/A</v>
      </c>
    </row>
    <row r="1525" spans="1:4" x14ac:dyDescent="0.25">
      <c r="A1525" s="7" t="s">
        <v>3</v>
      </c>
      <c r="B1525" s="8">
        <f>VLOOKUP(D1513,'[1] Wages Sheet FORM XVII'!A$11:U1596,17,0)</f>
        <v>1269</v>
      </c>
    </row>
    <row r="1526" spans="1:4" x14ac:dyDescent="0.25">
      <c r="A1526" s="7" t="s">
        <v>2</v>
      </c>
      <c r="B1526" s="8">
        <f>VLOOKUP(D1513,'[1] Wages Sheet FORM XVII'!A$11:U1596,20,0)</f>
        <v>1472</v>
      </c>
    </row>
    <row r="1527" spans="1:4" x14ac:dyDescent="0.25">
      <c r="A1527" s="7" t="s">
        <v>1</v>
      </c>
      <c r="B1527" s="8">
        <f>VLOOKUP(D1513,'[1] Wages Sheet FORM XVII'!A$11:U1596,21,0)</f>
        <v>9104.9399999999987</v>
      </c>
    </row>
    <row r="1528" spans="1:4" x14ac:dyDescent="0.25">
      <c r="A1528" s="7"/>
      <c r="B1528" s="7"/>
    </row>
    <row r="1529" spans="1:4" x14ac:dyDescent="0.25">
      <c r="A1529" s="6"/>
      <c r="B1529" s="5" t="s">
        <v>0</v>
      </c>
    </row>
    <row r="1530" spans="1:4" x14ac:dyDescent="0.25">
      <c r="A1530" s="4"/>
      <c r="B1530" s="3"/>
    </row>
    <row r="1535" spans="1:4" ht="13.8" x14ac:dyDescent="0.25">
      <c r="A1535" s="18" t="s">
        <v>15</v>
      </c>
      <c r="B1535" s="17"/>
      <c r="D1535" s="1">
        <f>+D1513+1</f>
        <v>71</v>
      </c>
    </row>
    <row r="1536" spans="1:4" ht="13.8" x14ac:dyDescent="0.25">
      <c r="A1536" s="16" t="s">
        <v>14</v>
      </c>
      <c r="B1536" s="15"/>
    </row>
    <row r="1537" spans="1:2" ht="13.8" x14ac:dyDescent="0.25">
      <c r="A1537" s="14" t="s">
        <v>13</v>
      </c>
      <c r="B1537" s="13"/>
    </row>
    <row r="1538" spans="1:2" x14ac:dyDescent="0.25">
      <c r="A1538" s="6"/>
      <c r="B1538" s="5"/>
    </row>
    <row r="1539" spans="1:2" x14ac:dyDescent="0.25">
      <c r="A1539" s="12" t="s">
        <v>12</v>
      </c>
      <c r="B1539" s="11" t="str">
        <f>+'[1]FORM XIII'!$F$6</f>
        <v>SORYE CONTRUCTION</v>
      </c>
    </row>
    <row r="1540" spans="1:2" x14ac:dyDescent="0.25">
      <c r="A1540" s="7" t="s">
        <v>11</v>
      </c>
      <c r="B1540" s="7" t="str">
        <f>VLOOKUP(D1535,'[1] Wages Sheet FORM XVII'!A$11:U1618,3,0)</f>
        <v>DEEPAK</v>
      </c>
    </row>
    <row r="1541" spans="1:2" x14ac:dyDescent="0.25">
      <c r="A1541" s="7" t="s">
        <v>10</v>
      </c>
      <c r="B1541" s="10" t="s">
        <v>9</v>
      </c>
    </row>
    <row r="1542" spans="1:2" x14ac:dyDescent="0.25">
      <c r="A1542" s="7" t="s">
        <v>8</v>
      </c>
      <c r="B1542" s="9">
        <v>45870</v>
      </c>
    </row>
    <row r="1543" spans="1:2" x14ac:dyDescent="0.25">
      <c r="A1543" s="7" t="s">
        <v>7</v>
      </c>
      <c r="B1543" s="8">
        <f>VLOOKUP(D1535,'[1] Wages Sheet FORM XVII'!A$11:U1618,11,0)</f>
        <v>6</v>
      </c>
    </row>
    <row r="1544" spans="1:2" x14ac:dyDescent="0.25">
      <c r="A1544" s="7" t="s">
        <v>6</v>
      </c>
      <c r="B1544" s="7">
        <v>0</v>
      </c>
    </row>
    <row r="1545" spans="1:2" x14ac:dyDescent="0.25">
      <c r="A1545" s="7" t="s">
        <v>5</v>
      </c>
      <c r="B1545" s="7">
        <f>VLOOKUP(D1535,'[1] Wages Sheet FORM XVII'!A$11:U1618,12,0)</f>
        <v>480.77</v>
      </c>
    </row>
    <row r="1546" spans="1:2" x14ac:dyDescent="0.25">
      <c r="A1546" s="7" t="s">
        <v>4</v>
      </c>
      <c r="B1546" s="7" t="e">
        <f>VLOOKUP(D1535,'[1] Wages Sheet FORM XVII'!A$11:U$34,15,0)</f>
        <v>#N/A</v>
      </c>
    </row>
    <row r="1547" spans="1:2" x14ac:dyDescent="0.25">
      <c r="A1547" s="7" t="s">
        <v>3</v>
      </c>
      <c r="B1547" s="8">
        <f>VLOOKUP(D1535,'[1] Wages Sheet FORM XVII'!A$11:U1618,17,0)</f>
        <v>346</v>
      </c>
    </row>
    <row r="1548" spans="1:2" x14ac:dyDescent="0.25">
      <c r="A1548" s="7" t="s">
        <v>2</v>
      </c>
      <c r="B1548" s="8">
        <f>VLOOKUP(D1535,'[1] Wages Sheet FORM XVII'!A$11:U1618,20,0)</f>
        <v>418</v>
      </c>
    </row>
    <row r="1549" spans="1:2" x14ac:dyDescent="0.25">
      <c r="A1549" s="7" t="s">
        <v>1</v>
      </c>
      <c r="B1549" s="8">
        <f>VLOOKUP(D1535,'[1] Wages Sheet FORM XVII'!A$11:U1618,21,0)</f>
        <v>2466.62</v>
      </c>
    </row>
    <row r="1550" spans="1:2" x14ac:dyDescent="0.25">
      <c r="A1550" s="7"/>
      <c r="B1550" s="7"/>
    </row>
    <row r="1551" spans="1:2" x14ac:dyDescent="0.25">
      <c r="A1551" s="6"/>
      <c r="B1551" s="5" t="s">
        <v>0</v>
      </c>
    </row>
    <row r="1552" spans="1:2" x14ac:dyDescent="0.25">
      <c r="A1552" s="4"/>
      <c r="B1552" s="3"/>
    </row>
    <row r="1557" spans="1:4" ht="13.8" x14ac:dyDescent="0.25">
      <c r="A1557" s="18" t="s">
        <v>15</v>
      </c>
      <c r="B1557" s="17"/>
      <c r="D1557" s="1">
        <f>+D1535+1</f>
        <v>72</v>
      </c>
    </row>
    <row r="1558" spans="1:4" ht="13.8" x14ac:dyDescent="0.25">
      <c r="A1558" s="16" t="s">
        <v>14</v>
      </c>
      <c r="B1558" s="15"/>
    </row>
    <row r="1559" spans="1:4" ht="13.8" x14ac:dyDescent="0.25">
      <c r="A1559" s="14" t="s">
        <v>13</v>
      </c>
      <c r="B1559" s="13"/>
    </row>
    <row r="1560" spans="1:4" x14ac:dyDescent="0.25">
      <c r="A1560" s="6"/>
      <c r="B1560" s="5"/>
    </row>
    <row r="1561" spans="1:4" x14ac:dyDescent="0.25">
      <c r="A1561" s="12" t="s">
        <v>12</v>
      </c>
      <c r="B1561" s="11" t="str">
        <f>+'[1]FORM XIII'!$F$6</f>
        <v>SORYE CONTRUCTION</v>
      </c>
    </row>
    <row r="1562" spans="1:4" x14ac:dyDescent="0.25">
      <c r="A1562" s="7" t="s">
        <v>11</v>
      </c>
      <c r="B1562" s="7" t="str">
        <f>VLOOKUP(D1557,'[1] Wages Sheet FORM XVII'!A$11:U1640,3,0)</f>
        <v>ADESH</v>
      </c>
    </row>
    <row r="1563" spans="1:4" x14ac:dyDescent="0.25">
      <c r="A1563" s="7" t="s">
        <v>10</v>
      </c>
      <c r="B1563" s="10" t="s">
        <v>9</v>
      </c>
    </row>
    <row r="1564" spans="1:4" x14ac:dyDescent="0.25">
      <c r="A1564" s="7" t="s">
        <v>8</v>
      </c>
      <c r="B1564" s="9">
        <v>45870</v>
      </c>
    </row>
    <row r="1565" spans="1:4" x14ac:dyDescent="0.25">
      <c r="A1565" s="7" t="s">
        <v>7</v>
      </c>
      <c r="B1565" s="8">
        <f>VLOOKUP(D1557,'[1] Wages Sheet FORM XVII'!A$11:U1640,11,0)</f>
        <v>27</v>
      </c>
    </row>
    <row r="1566" spans="1:4" x14ac:dyDescent="0.25">
      <c r="A1566" s="7" t="s">
        <v>6</v>
      </c>
      <c r="B1566" s="7">
        <v>0</v>
      </c>
    </row>
    <row r="1567" spans="1:4" x14ac:dyDescent="0.25">
      <c r="A1567" s="7" t="s">
        <v>5</v>
      </c>
      <c r="B1567" s="7">
        <f>VLOOKUP(D1557,'[1] Wages Sheet FORM XVII'!A$11:U1640,12,0)</f>
        <v>480.77</v>
      </c>
    </row>
    <row r="1568" spans="1:4" x14ac:dyDescent="0.25">
      <c r="A1568" s="7" t="s">
        <v>4</v>
      </c>
      <c r="B1568" s="7" t="e">
        <f>VLOOKUP(D1557,'[1] Wages Sheet FORM XVII'!A$11:U$34,15,0)</f>
        <v>#N/A</v>
      </c>
    </row>
    <row r="1569" spans="1:4" x14ac:dyDescent="0.25">
      <c r="A1569" s="7" t="s">
        <v>3</v>
      </c>
      <c r="B1569" s="8">
        <f>VLOOKUP(D1557,'[1] Wages Sheet FORM XVII'!A$11:U1640,17,0)</f>
        <v>1558</v>
      </c>
    </row>
    <row r="1570" spans="1:4" x14ac:dyDescent="0.25">
      <c r="A1570" s="7" t="s">
        <v>2</v>
      </c>
      <c r="B1570" s="8">
        <f>VLOOKUP(D1557,'[1] Wages Sheet FORM XVII'!A$11:U1640,20,0)</f>
        <v>1659</v>
      </c>
    </row>
    <row r="1571" spans="1:4" x14ac:dyDescent="0.25">
      <c r="A1571" s="7" t="s">
        <v>1</v>
      </c>
      <c r="B1571" s="8">
        <f>VLOOKUP(D1557,'[1] Wages Sheet FORM XVII'!A$11:U1640,21,0)</f>
        <v>11802.789999999999</v>
      </c>
    </row>
    <row r="1572" spans="1:4" x14ac:dyDescent="0.25">
      <c r="A1572" s="7"/>
      <c r="B1572" s="7"/>
    </row>
    <row r="1573" spans="1:4" x14ac:dyDescent="0.25">
      <c r="A1573" s="6"/>
      <c r="B1573" s="5" t="s">
        <v>0</v>
      </c>
    </row>
    <row r="1574" spans="1:4" x14ac:dyDescent="0.25">
      <c r="A1574" s="4"/>
      <c r="B1574" s="3"/>
    </row>
    <row r="1579" spans="1:4" ht="13.8" x14ac:dyDescent="0.25">
      <c r="A1579" s="18" t="s">
        <v>15</v>
      </c>
      <c r="B1579" s="17"/>
      <c r="C1579" s="19"/>
      <c r="D1579" s="1">
        <f>+D1557+1</f>
        <v>73</v>
      </c>
    </row>
    <row r="1580" spans="1:4" ht="13.8" x14ac:dyDescent="0.25">
      <c r="A1580" s="16" t="s">
        <v>14</v>
      </c>
      <c r="B1580" s="15"/>
      <c r="C1580" s="19"/>
    </row>
    <row r="1581" spans="1:4" ht="13.8" x14ac:dyDescent="0.25">
      <c r="A1581" s="14" t="s">
        <v>13</v>
      </c>
      <c r="B1581" s="13"/>
      <c r="C1581" s="19"/>
    </row>
    <row r="1582" spans="1:4" x14ac:dyDescent="0.25">
      <c r="A1582" s="6"/>
      <c r="B1582" s="5"/>
      <c r="C1582" s="19"/>
    </row>
    <row r="1583" spans="1:4" x14ac:dyDescent="0.25">
      <c r="A1583" s="12" t="s">
        <v>12</v>
      </c>
      <c r="B1583" s="11" t="str">
        <f>+'[1]FORM XIII'!$F$6</f>
        <v>SORYE CONTRUCTION</v>
      </c>
      <c r="C1583" s="19"/>
    </row>
    <row r="1584" spans="1:4" x14ac:dyDescent="0.25">
      <c r="A1584" s="7" t="s">
        <v>11</v>
      </c>
      <c r="B1584" s="7" t="str">
        <f>VLOOKUP(D1579,'[1] Wages Sheet FORM XVII'!A$11:U1662,3,0)</f>
        <v>VIMAL</v>
      </c>
      <c r="C1584" s="19"/>
    </row>
    <row r="1585" spans="1:3" x14ac:dyDescent="0.25">
      <c r="A1585" s="7" t="s">
        <v>10</v>
      </c>
      <c r="B1585" s="10" t="s">
        <v>9</v>
      </c>
      <c r="C1585" s="19"/>
    </row>
    <row r="1586" spans="1:3" x14ac:dyDescent="0.25">
      <c r="A1586" s="7" t="s">
        <v>8</v>
      </c>
      <c r="B1586" s="9">
        <v>45870</v>
      </c>
      <c r="C1586" s="19"/>
    </row>
    <row r="1587" spans="1:3" x14ac:dyDescent="0.25">
      <c r="A1587" s="7" t="s">
        <v>7</v>
      </c>
      <c r="B1587" s="8">
        <f>VLOOKUP(D1579,'[1] Wages Sheet FORM XVII'!A$11:U1662,11,0)</f>
        <v>19</v>
      </c>
      <c r="C1587" s="19"/>
    </row>
    <row r="1588" spans="1:3" x14ac:dyDescent="0.25">
      <c r="A1588" s="7" t="s">
        <v>6</v>
      </c>
      <c r="B1588" s="7">
        <v>0</v>
      </c>
      <c r="C1588" s="19"/>
    </row>
    <row r="1589" spans="1:3" x14ac:dyDescent="0.25">
      <c r="A1589" s="7" t="s">
        <v>5</v>
      </c>
      <c r="B1589" s="7">
        <f>VLOOKUP(D1579,'[1] Wages Sheet FORM XVII'!A$11:U1662,12,0)</f>
        <v>480.77</v>
      </c>
      <c r="C1589" s="19"/>
    </row>
    <row r="1590" spans="1:3" x14ac:dyDescent="0.25">
      <c r="A1590" s="7" t="s">
        <v>4</v>
      </c>
      <c r="B1590" s="7" t="e">
        <f>VLOOKUP(D1579,'[1] Wages Sheet FORM XVII'!A$11:U$34,15,0)</f>
        <v>#N/A</v>
      </c>
      <c r="C1590" s="19"/>
    </row>
    <row r="1591" spans="1:3" x14ac:dyDescent="0.25">
      <c r="A1591" s="7" t="s">
        <v>3</v>
      </c>
      <c r="B1591" s="8">
        <f>VLOOKUP(D1579,'[1] Wages Sheet FORM XVII'!A$11:U1662,17,0)</f>
        <v>1096</v>
      </c>
      <c r="C1591" s="19"/>
    </row>
    <row r="1592" spans="1:3" x14ac:dyDescent="0.25">
      <c r="A1592" s="7" t="s">
        <v>2</v>
      </c>
      <c r="B1592" s="8">
        <f>VLOOKUP(D1579,'[1] Wages Sheet FORM XVII'!A$11:U1662,20,0)</f>
        <v>1168</v>
      </c>
      <c r="C1592" s="19"/>
    </row>
    <row r="1593" spans="1:3" x14ac:dyDescent="0.25">
      <c r="A1593" s="7" t="s">
        <v>1</v>
      </c>
      <c r="B1593" s="8">
        <f>VLOOKUP(D1579,'[1] Wages Sheet FORM XVII'!A$11:U1662,21,0)</f>
        <v>8447.6299999999992</v>
      </c>
      <c r="C1593" s="19"/>
    </row>
    <row r="1594" spans="1:3" x14ac:dyDescent="0.25">
      <c r="A1594" s="7"/>
      <c r="B1594" s="7"/>
      <c r="C1594" s="19"/>
    </row>
    <row r="1595" spans="1:3" x14ac:dyDescent="0.25">
      <c r="A1595" s="6"/>
      <c r="B1595" s="5" t="s">
        <v>0</v>
      </c>
      <c r="C1595" s="19"/>
    </row>
    <row r="1596" spans="1:3" x14ac:dyDescent="0.25">
      <c r="A1596" s="4"/>
      <c r="B1596" s="3"/>
      <c r="C1596" s="19"/>
    </row>
    <row r="1597" spans="1:3" x14ac:dyDescent="0.25">
      <c r="C1597" s="19"/>
    </row>
    <row r="1601" spans="1:4" ht="13.8" x14ac:dyDescent="0.25">
      <c r="A1601" s="18" t="s">
        <v>15</v>
      </c>
      <c r="B1601" s="17"/>
      <c r="D1601" s="1">
        <f>+D1579+1</f>
        <v>74</v>
      </c>
    </row>
    <row r="1602" spans="1:4" ht="13.8" x14ac:dyDescent="0.25">
      <c r="A1602" s="16" t="s">
        <v>14</v>
      </c>
      <c r="B1602" s="15"/>
    </row>
    <row r="1603" spans="1:4" ht="13.8" x14ac:dyDescent="0.25">
      <c r="A1603" s="14" t="s">
        <v>13</v>
      </c>
      <c r="B1603" s="13"/>
    </row>
    <row r="1604" spans="1:4" x14ac:dyDescent="0.25">
      <c r="A1604" s="6"/>
      <c r="B1604" s="5"/>
    </row>
    <row r="1605" spans="1:4" x14ac:dyDescent="0.25">
      <c r="A1605" s="12" t="s">
        <v>12</v>
      </c>
      <c r="B1605" s="11" t="str">
        <f>+'[1]FORM XIII'!$F$6</f>
        <v>SORYE CONTRUCTION</v>
      </c>
    </row>
    <row r="1606" spans="1:4" x14ac:dyDescent="0.25">
      <c r="A1606" s="7" t="s">
        <v>11</v>
      </c>
      <c r="B1606" s="7" t="str">
        <f>VLOOKUP(D1601,'[1] Wages Sheet FORM XVII'!A$11:U1684,3,0)</f>
        <v>NARENDER SINGH</v>
      </c>
    </row>
    <row r="1607" spans="1:4" x14ac:dyDescent="0.25">
      <c r="A1607" s="7" t="s">
        <v>10</v>
      </c>
      <c r="B1607" s="10" t="s">
        <v>9</v>
      </c>
    </row>
    <row r="1608" spans="1:4" x14ac:dyDescent="0.25">
      <c r="A1608" s="7" t="s">
        <v>8</v>
      </c>
      <c r="B1608" s="9">
        <v>45870</v>
      </c>
    </row>
    <row r="1609" spans="1:4" x14ac:dyDescent="0.25">
      <c r="A1609" s="7" t="s">
        <v>7</v>
      </c>
      <c r="B1609" s="8">
        <f>VLOOKUP(D1601,'[1] Wages Sheet FORM XVII'!A$11:U1684,11,0)</f>
        <v>20</v>
      </c>
    </row>
    <row r="1610" spans="1:4" x14ac:dyDescent="0.25">
      <c r="A1610" s="7" t="s">
        <v>6</v>
      </c>
      <c r="B1610" s="7">
        <v>0</v>
      </c>
    </row>
    <row r="1611" spans="1:4" x14ac:dyDescent="0.25">
      <c r="A1611" s="7" t="s">
        <v>5</v>
      </c>
      <c r="B1611" s="7">
        <f>VLOOKUP(D1601,'[1] Wages Sheet FORM XVII'!A$11:U1684,12,0)</f>
        <v>480.77</v>
      </c>
    </row>
    <row r="1612" spans="1:4" x14ac:dyDescent="0.25">
      <c r="A1612" s="7" t="s">
        <v>4</v>
      </c>
      <c r="B1612" s="7" t="e">
        <f>VLOOKUP(D1601,'[1] Wages Sheet FORM XVII'!A$11:U$34,15,0)</f>
        <v>#N/A</v>
      </c>
    </row>
    <row r="1613" spans="1:4" x14ac:dyDescent="0.25">
      <c r="A1613" s="7" t="s">
        <v>3</v>
      </c>
      <c r="B1613" s="8">
        <f>VLOOKUP(D1601,'[1] Wages Sheet FORM XVII'!A$11:U1684,17,0)</f>
        <v>1154</v>
      </c>
    </row>
    <row r="1614" spans="1:4" x14ac:dyDescent="0.25">
      <c r="A1614" s="7" t="s">
        <v>2</v>
      </c>
      <c r="B1614" s="8">
        <f>VLOOKUP(D1601,'[1] Wages Sheet FORM XVII'!A$11:U1684,20,0)</f>
        <v>1328</v>
      </c>
    </row>
    <row r="1615" spans="1:4" x14ac:dyDescent="0.25">
      <c r="A1615" s="7" t="s">
        <v>1</v>
      </c>
      <c r="B1615" s="8">
        <f>VLOOKUP(D1601,'[1] Wages Sheet FORM XVII'!A$11:U1684,21,0)</f>
        <v>8587.4</v>
      </c>
    </row>
    <row r="1616" spans="1:4" x14ac:dyDescent="0.25">
      <c r="A1616" s="7"/>
      <c r="B1616" s="7"/>
    </row>
    <row r="1617" spans="1:4" x14ac:dyDescent="0.25">
      <c r="A1617" s="6"/>
      <c r="B1617" s="5" t="s">
        <v>0</v>
      </c>
    </row>
    <row r="1618" spans="1:4" x14ac:dyDescent="0.25">
      <c r="A1618" s="4"/>
      <c r="B1618" s="3"/>
    </row>
    <row r="1623" spans="1:4" ht="13.8" x14ac:dyDescent="0.25">
      <c r="A1623" s="18" t="s">
        <v>15</v>
      </c>
      <c r="B1623" s="17"/>
      <c r="D1623" s="1">
        <f>+D1601+1</f>
        <v>75</v>
      </c>
    </row>
    <row r="1624" spans="1:4" ht="13.8" x14ac:dyDescent="0.25">
      <c r="A1624" s="16" t="s">
        <v>14</v>
      </c>
      <c r="B1624" s="15"/>
    </row>
    <row r="1625" spans="1:4" ht="13.8" x14ac:dyDescent="0.25">
      <c r="A1625" s="14" t="s">
        <v>13</v>
      </c>
      <c r="B1625" s="13"/>
    </row>
    <row r="1626" spans="1:4" x14ac:dyDescent="0.25">
      <c r="A1626" s="6"/>
      <c r="B1626" s="5"/>
    </row>
    <row r="1627" spans="1:4" x14ac:dyDescent="0.25">
      <c r="A1627" s="12" t="s">
        <v>12</v>
      </c>
      <c r="B1627" s="11" t="str">
        <f>+'[1]FORM XIII'!$F$6</f>
        <v>SORYE CONTRUCTION</v>
      </c>
    </row>
    <row r="1628" spans="1:4" x14ac:dyDescent="0.25">
      <c r="A1628" s="7" t="s">
        <v>11</v>
      </c>
      <c r="B1628" s="7" t="str">
        <f>VLOOKUP(D1623,'[1] Wages Sheet FORM XVII'!A$11:U1706,3,0)</f>
        <v>ABHISHEK KUMAR</v>
      </c>
    </row>
    <row r="1629" spans="1:4" x14ac:dyDescent="0.25">
      <c r="A1629" s="7" t="s">
        <v>10</v>
      </c>
      <c r="B1629" s="10" t="s">
        <v>9</v>
      </c>
    </row>
    <row r="1630" spans="1:4" x14ac:dyDescent="0.25">
      <c r="A1630" s="7" t="s">
        <v>8</v>
      </c>
      <c r="B1630" s="9">
        <v>45870</v>
      </c>
    </row>
    <row r="1631" spans="1:4" x14ac:dyDescent="0.25">
      <c r="A1631" s="7" t="s">
        <v>7</v>
      </c>
      <c r="B1631" s="8">
        <f>VLOOKUP(D1623,'[1] Wages Sheet FORM XVII'!A$11:U1706,11,0)</f>
        <v>23</v>
      </c>
    </row>
    <row r="1632" spans="1:4" x14ac:dyDescent="0.25">
      <c r="A1632" s="7" t="s">
        <v>6</v>
      </c>
      <c r="B1632" s="7">
        <v>0</v>
      </c>
    </row>
    <row r="1633" spans="1:4" x14ac:dyDescent="0.25">
      <c r="A1633" s="7" t="s">
        <v>5</v>
      </c>
      <c r="B1633" s="7">
        <f>VLOOKUP(D1623,'[1] Wages Sheet FORM XVII'!A$11:U1706,12,0)</f>
        <v>480.77</v>
      </c>
    </row>
    <row r="1634" spans="1:4" x14ac:dyDescent="0.25">
      <c r="A1634" s="7" t="s">
        <v>4</v>
      </c>
      <c r="B1634" s="7" t="e">
        <f>VLOOKUP(D1623,'[1] Wages Sheet FORM XVII'!A$11:U$34,15,0)</f>
        <v>#N/A</v>
      </c>
    </row>
    <row r="1635" spans="1:4" x14ac:dyDescent="0.25">
      <c r="A1635" s="7" t="s">
        <v>3</v>
      </c>
      <c r="B1635" s="8">
        <f>VLOOKUP(D1623,'[1] Wages Sheet FORM XVII'!A$11:U1706,17,0)</f>
        <v>1327</v>
      </c>
    </row>
    <row r="1636" spans="1:4" x14ac:dyDescent="0.25">
      <c r="A1636" s="7" t="s">
        <v>2</v>
      </c>
      <c r="B1636" s="8">
        <f>VLOOKUP(D1623,'[1] Wages Sheet FORM XVII'!A$11:U1706,20,0)</f>
        <v>1414</v>
      </c>
    </row>
    <row r="1637" spans="1:4" x14ac:dyDescent="0.25">
      <c r="A1637" s="7" t="s">
        <v>1</v>
      </c>
      <c r="B1637" s="8">
        <f>VLOOKUP(D1623,'[1] Wages Sheet FORM XVII'!A$11:U1706,21,0)</f>
        <v>10184.709999999999</v>
      </c>
    </row>
    <row r="1638" spans="1:4" x14ac:dyDescent="0.25">
      <c r="A1638" s="7"/>
      <c r="B1638" s="7"/>
    </row>
    <row r="1639" spans="1:4" x14ac:dyDescent="0.25">
      <c r="A1639" s="6"/>
      <c r="B1639" s="5" t="s">
        <v>0</v>
      </c>
    </row>
    <row r="1640" spans="1:4" x14ac:dyDescent="0.25">
      <c r="A1640" s="4"/>
      <c r="B1640" s="3"/>
    </row>
    <row r="1645" spans="1:4" ht="13.8" x14ac:dyDescent="0.25">
      <c r="A1645" s="18" t="s">
        <v>15</v>
      </c>
      <c r="B1645" s="17"/>
      <c r="D1645" s="1">
        <f>+D1623+1</f>
        <v>76</v>
      </c>
    </row>
    <row r="1646" spans="1:4" ht="13.8" x14ac:dyDescent="0.25">
      <c r="A1646" s="16" t="s">
        <v>14</v>
      </c>
      <c r="B1646" s="15"/>
    </row>
    <row r="1647" spans="1:4" ht="13.8" x14ac:dyDescent="0.25">
      <c r="A1647" s="14" t="s">
        <v>13</v>
      </c>
      <c r="B1647" s="13"/>
    </row>
    <row r="1648" spans="1:4" x14ac:dyDescent="0.25">
      <c r="A1648" s="6"/>
      <c r="B1648" s="5"/>
    </row>
    <row r="1649" spans="1:2" x14ac:dyDescent="0.25">
      <c r="A1649" s="12" t="s">
        <v>12</v>
      </c>
      <c r="B1649" s="11" t="str">
        <f>+'[1]FORM XIII'!$F$6</f>
        <v>SORYE CONTRUCTION</v>
      </c>
    </row>
    <row r="1650" spans="1:2" x14ac:dyDescent="0.25">
      <c r="A1650" s="7" t="s">
        <v>11</v>
      </c>
      <c r="B1650" s="7" t="str">
        <f>VLOOKUP(D1645,'[1] Wages Sheet FORM XVII'!A$11:U1728,3,0)</f>
        <v>PARSHANT</v>
      </c>
    </row>
    <row r="1651" spans="1:2" x14ac:dyDescent="0.25">
      <c r="A1651" s="7" t="s">
        <v>10</v>
      </c>
      <c r="B1651" s="10" t="s">
        <v>9</v>
      </c>
    </row>
    <row r="1652" spans="1:2" x14ac:dyDescent="0.25">
      <c r="A1652" s="7" t="s">
        <v>8</v>
      </c>
      <c r="B1652" s="9">
        <v>45870</v>
      </c>
    </row>
    <row r="1653" spans="1:2" x14ac:dyDescent="0.25">
      <c r="A1653" s="7" t="s">
        <v>7</v>
      </c>
      <c r="B1653" s="8">
        <f>VLOOKUP(D1645,'[1] Wages Sheet FORM XVII'!A$11:U1728,11,0)</f>
        <v>16</v>
      </c>
    </row>
    <row r="1654" spans="1:2" x14ac:dyDescent="0.25">
      <c r="A1654" s="7" t="s">
        <v>6</v>
      </c>
      <c r="B1654" s="7">
        <v>0</v>
      </c>
    </row>
    <row r="1655" spans="1:2" x14ac:dyDescent="0.25">
      <c r="A1655" s="7" t="s">
        <v>5</v>
      </c>
      <c r="B1655" s="7">
        <f>VLOOKUP(D1645,'[1] Wages Sheet FORM XVII'!A$11:U1728,12,0)</f>
        <v>480.77</v>
      </c>
    </row>
    <row r="1656" spans="1:2" x14ac:dyDescent="0.25">
      <c r="A1656" s="7" t="s">
        <v>4</v>
      </c>
      <c r="B1656" s="7" t="e">
        <f>VLOOKUP(D1645,'[1] Wages Sheet FORM XVII'!A$11:U$34,15,0)</f>
        <v>#N/A</v>
      </c>
    </row>
    <row r="1657" spans="1:2" x14ac:dyDescent="0.25">
      <c r="A1657" s="7" t="s">
        <v>3</v>
      </c>
      <c r="B1657" s="8">
        <f>VLOOKUP(D1645,'[1] Wages Sheet FORM XVII'!A$11:U1728,17,0)</f>
        <v>923</v>
      </c>
    </row>
    <row r="1658" spans="1:2" x14ac:dyDescent="0.25">
      <c r="A1658" s="7" t="s">
        <v>2</v>
      </c>
      <c r="B1658" s="8">
        <f>VLOOKUP(D1645,'[1] Wages Sheet FORM XVII'!A$11:U1728,20,0)</f>
        <v>982</v>
      </c>
    </row>
    <row r="1659" spans="1:2" x14ac:dyDescent="0.25">
      <c r="A1659" s="7" t="s">
        <v>1</v>
      </c>
      <c r="B1659" s="8">
        <f>VLOOKUP(D1645,'[1] Wages Sheet FORM XVII'!A$11:U1728,21,0)</f>
        <v>6830.32</v>
      </c>
    </row>
    <row r="1660" spans="1:2" x14ac:dyDescent="0.25">
      <c r="A1660" s="7"/>
      <c r="B1660" s="7"/>
    </row>
    <row r="1661" spans="1:2" x14ac:dyDescent="0.25">
      <c r="A1661" s="6"/>
      <c r="B1661" s="5" t="s">
        <v>0</v>
      </c>
    </row>
    <row r="1662" spans="1:2" x14ac:dyDescent="0.25">
      <c r="A1662" s="4"/>
      <c r="B1662" s="3"/>
    </row>
    <row r="1667" spans="1:4" ht="13.8" x14ac:dyDescent="0.25">
      <c r="A1667" s="18" t="s">
        <v>15</v>
      </c>
      <c r="B1667" s="17"/>
      <c r="C1667" s="19"/>
      <c r="D1667" s="1">
        <f>+D1645+1</f>
        <v>77</v>
      </c>
    </row>
    <row r="1668" spans="1:4" ht="13.8" x14ac:dyDescent="0.25">
      <c r="A1668" s="16" t="s">
        <v>14</v>
      </c>
      <c r="B1668" s="15"/>
      <c r="C1668" s="19"/>
    </row>
    <row r="1669" spans="1:4" ht="13.8" x14ac:dyDescent="0.25">
      <c r="A1669" s="14" t="s">
        <v>13</v>
      </c>
      <c r="B1669" s="13"/>
      <c r="C1669" s="19"/>
    </row>
    <row r="1670" spans="1:4" x14ac:dyDescent="0.25">
      <c r="A1670" s="6"/>
      <c r="B1670" s="5"/>
      <c r="C1670" s="19"/>
    </row>
    <row r="1671" spans="1:4" x14ac:dyDescent="0.25">
      <c r="A1671" s="12" t="s">
        <v>12</v>
      </c>
      <c r="B1671" s="11" t="str">
        <f>+'[1]FORM XIII'!$F$6</f>
        <v>SORYE CONTRUCTION</v>
      </c>
      <c r="C1671" s="19"/>
    </row>
    <row r="1672" spans="1:4" x14ac:dyDescent="0.25">
      <c r="A1672" s="7" t="s">
        <v>11</v>
      </c>
      <c r="B1672" s="7" t="str">
        <f>VLOOKUP(D1667,'[1] Wages Sheet FORM XVII'!A$11:U1750,3,0)</f>
        <v>FIDDA HUSSAIN</v>
      </c>
      <c r="C1672" s="19"/>
    </row>
    <row r="1673" spans="1:4" x14ac:dyDescent="0.25">
      <c r="A1673" s="7" t="s">
        <v>10</v>
      </c>
      <c r="B1673" s="10" t="s">
        <v>9</v>
      </c>
      <c r="C1673" s="19"/>
    </row>
    <row r="1674" spans="1:4" x14ac:dyDescent="0.25">
      <c r="A1674" s="7" t="s">
        <v>8</v>
      </c>
      <c r="B1674" s="9">
        <v>45870</v>
      </c>
      <c r="C1674" s="19"/>
    </row>
    <row r="1675" spans="1:4" x14ac:dyDescent="0.25">
      <c r="A1675" s="7" t="s">
        <v>7</v>
      </c>
      <c r="B1675" s="8">
        <f>VLOOKUP(D1667,'[1] Wages Sheet FORM XVII'!A$11:U1750,11,0)</f>
        <v>6</v>
      </c>
      <c r="C1675" s="19"/>
    </row>
    <row r="1676" spans="1:4" x14ac:dyDescent="0.25">
      <c r="A1676" s="7" t="s">
        <v>6</v>
      </c>
      <c r="B1676" s="7">
        <v>0</v>
      </c>
      <c r="C1676" s="19"/>
    </row>
    <row r="1677" spans="1:4" x14ac:dyDescent="0.25">
      <c r="A1677" s="7" t="s">
        <v>5</v>
      </c>
      <c r="B1677" s="7">
        <f>VLOOKUP(D1667,'[1] Wages Sheet FORM XVII'!A$11:U1750,12,0)</f>
        <v>480.77</v>
      </c>
      <c r="C1677" s="19"/>
    </row>
    <row r="1678" spans="1:4" x14ac:dyDescent="0.25">
      <c r="A1678" s="7" t="s">
        <v>4</v>
      </c>
      <c r="B1678" s="7" t="e">
        <f>VLOOKUP(D1667,'[1] Wages Sheet FORM XVII'!A$11:U$34,15,0)</f>
        <v>#N/A</v>
      </c>
      <c r="C1678" s="19"/>
    </row>
    <row r="1679" spans="1:4" x14ac:dyDescent="0.25">
      <c r="A1679" s="7" t="s">
        <v>3</v>
      </c>
      <c r="B1679" s="8">
        <f>VLOOKUP(D1667,'[1] Wages Sheet FORM XVII'!A$11:U1750,17,0)</f>
        <v>346</v>
      </c>
      <c r="C1679" s="19"/>
    </row>
    <row r="1680" spans="1:4" x14ac:dyDescent="0.25">
      <c r="A1680" s="7" t="s">
        <v>2</v>
      </c>
      <c r="B1680" s="8">
        <f>VLOOKUP(D1667,'[1] Wages Sheet FORM XVII'!A$11:U1750,20,0)</f>
        <v>368</v>
      </c>
      <c r="C1680" s="19"/>
    </row>
    <row r="1681" spans="1:4" x14ac:dyDescent="0.25">
      <c r="A1681" s="7" t="s">
        <v>1</v>
      </c>
      <c r="B1681" s="8">
        <f>VLOOKUP(D1667,'[1] Wages Sheet FORM XVII'!A$11:U1750,21,0)</f>
        <v>2516.62</v>
      </c>
      <c r="C1681" s="19"/>
    </row>
    <row r="1682" spans="1:4" x14ac:dyDescent="0.25">
      <c r="A1682" s="7"/>
      <c r="B1682" s="7"/>
      <c r="C1682" s="19"/>
    </row>
    <row r="1683" spans="1:4" x14ac:dyDescent="0.25">
      <c r="A1683" s="6"/>
      <c r="B1683" s="5" t="s">
        <v>0</v>
      </c>
      <c r="C1683" s="19"/>
    </row>
    <row r="1684" spans="1:4" x14ac:dyDescent="0.25">
      <c r="A1684" s="4"/>
      <c r="B1684" s="3"/>
      <c r="C1684" s="19"/>
    </row>
    <row r="1685" spans="1:4" x14ac:dyDescent="0.25">
      <c r="C1685" s="19"/>
    </row>
    <row r="1689" spans="1:4" ht="13.8" x14ac:dyDescent="0.25">
      <c r="A1689" s="18" t="s">
        <v>15</v>
      </c>
      <c r="B1689" s="17"/>
      <c r="D1689" s="1">
        <f>+D1667+1</f>
        <v>78</v>
      </c>
    </row>
    <row r="1690" spans="1:4" ht="13.8" x14ac:dyDescent="0.25">
      <c r="A1690" s="16" t="s">
        <v>14</v>
      </c>
      <c r="B1690" s="15"/>
    </row>
    <row r="1691" spans="1:4" ht="13.8" x14ac:dyDescent="0.25">
      <c r="A1691" s="14" t="s">
        <v>13</v>
      </c>
      <c r="B1691" s="13"/>
    </row>
    <row r="1692" spans="1:4" x14ac:dyDescent="0.25">
      <c r="A1692" s="6"/>
      <c r="B1692" s="5"/>
    </row>
    <row r="1693" spans="1:4" x14ac:dyDescent="0.25">
      <c r="A1693" s="12" t="s">
        <v>12</v>
      </c>
      <c r="B1693" s="11" t="str">
        <f>+'[1]FORM XIII'!$F$6</f>
        <v>SORYE CONTRUCTION</v>
      </c>
    </row>
    <row r="1694" spans="1:4" x14ac:dyDescent="0.25">
      <c r="A1694" s="7" t="s">
        <v>11</v>
      </c>
      <c r="B1694" s="7" t="str">
        <f>VLOOKUP(D1689,'[1] Wages Sheet FORM XVII'!A$11:U1772,3,0)</f>
        <v>SANJU</v>
      </c>
    </row>
    <row r="1695" spans="1:4" x14ac:dyDescent="0.25">
      <c r="A1695" s="7" t="s">
        <v>10</v>
      </c>
      <c r="B1695" s="10" t="s">
        <v>9</v>
      </c>
    </row>
    <row r="1696" spans="1:4" x14ac:dyDescent="0.25">
      <c r="A1696" s="7" t="s">
        <v>8</v>
      </c>
      <c r="B1696" s="9">
        <v>45870</v>
      </c>
    </row>
    <row r="1697" spans="1:4" x14ac:dyDescent="0.25">
      <c r="A1697" s="7" t="s">
        <v>7</v>
      </c>
      <c r="B1697" s="8">
        <f>VLOOKUP(D1689,'[1] Wages Sheet FORM XVII'!A$11:U1772,11,0)</f>
        <v>17</v>
      </c>
    </row>
    <row r="1698" spans="1:4" x14ac:dyDescent="0.25">
      <c r="A1698" s="7" t="s">
        <v>6</v>
      </c>
      <c r="B1698" s="7">
        <v>0</v>
      </c>
    </row>
    <row r="1699" spans="1:4" x14ac:dyDescent="0.25">
      <c r="A1699" s="7" t="s">
        <v>5</v>
      </c>
      <c r="B1699" s="7">
        <f>VLOOKUP(D1689,'[1] Wages Sheet FORM XVII'!A$11:U1772,12,0)</f>
        <v>480.77</v>
      </c>
    </row>
    <row r="1700" spans="1:4" x14ac:dyDescent="0.25">
      <c r="A1700" s="7" t="s">
        <v>4</v>
      </c>
      <c r="B1700" s="7" t="e">
        <f>VLOOKUP(D1689,'[1] Wages Sheet FORM XVII'!A$11:U$34,15,0)</f>
        <v>#N/A</v>
      </c>
    </row>
    <row r="1701" spans="1:4" x14ac:dyDescent="0.25">
      <c r="A1701" s="7" t="s">
        <v>3</v>
      </c>
      <c r="B1701" s="8">
        <f>VLOOKUP(D1689,'[1] Wages Sheet FORM XVII'!A$11:U1772,17,0)</f>
        <v>981</v>
      </c>
    </row>
    <row r="1702" spans="1:4" x14ac:dyDescent="0.25">
      <c r="A1702" s="7" t="s">
        <v>2</v>
      </c>
      <c r="B1702" s="8">
        <f>VLOOKUP(D1689,'[1] Wages Sheet FORM XVII'!A$11:U1772,20,0)</f>
        <v>1304</v>
      </c>
    </row>
    <row r="1703" spans="1:4" x14ac:dyDescent="0.25">
      <c r="A1703" s="7" t="s">
        <v>1</v>
      </c>
      <c r="B1703" s="8">
        <f>VLOOKUP(D1689,'[1] Wages Sheet FORM XVII'!A$11:U1772,21,0)</f>
        <v>8492.09</v>
      </c>
    </row>
    <row r="1704" spans="1:4" x14ac:dyDescent="0.25">
      <c r="A1704" s="7"/>
      <c r="B1704" s="7"/>
    </row>
    <row r="1705" spans="1:4" x14ac:dyDescent="0.25">
      <c r="A1705" s="6"/>
      <c r="B1705" s="5" t="s">
        <v>0</v>
      </c>
    </row>
    <row r="1706" spans="1:4" x14ac:dyDescent="0.25">
      <c r="A1706" s="4"/>
      <c r="B1706" s="3"/>
    </row>
    <row r="1711" spans="1:4" ht="13.8" x14ac:dyDescent="0.25">
      <c r="A1711" s="18" t="s">
        <v>15</v>
      </c>
      <c r="B1711" s="17"/>
      <c r="D1711" s="1">
        <f>+D1689+1</f>
        <v>79</v>
      </c>
    </row>
    <row r="1712" spans="1:4" ht="13.8" x14ac:dyDescent="0.25">
      <c r="A1712" s="16" t="s">
        <v>14</v>
      </c>
      <c r="B1712" s="15"/>
    </row>
    <row r="1713" spans="1:2" ht="13.8" x14ac:dyDescent="0.25">
      <c r="A1713" s="14" t="s">
        <v>13</v>
      </c>
      <c r="B1713" s="13"/>
    </row>
    <row r="1714" spans="1:2" x14ac:dyDescent="0.25">
      <c r="A1714" s="6"/>
      <c r="B1714" s="5"/>
    </row>
    <row r="1715" spans="1:2" x14ac:dyDescent="0.25">
      <c r="A1715" s="12" t="s">
        <v>12</v>
      </c>
      <c r="B1715" s="11" t="str">
        <f>+'[1]FORM XIII'!$F$6</f>
        <v>SORYE CONTRUCTION</v>
      </c>
    </row>
    <row r="1716" spans="1:2" x14ac:dyDescent="0.25">
      <c r="A1716" s="7" t="s">
        <v>11</v>
      </c>
      <c r="B1716" s="7" t="str">
        <f>VLOOKUP(D1711,'[1] Wages Sheet FORM XVII'!A$11:U1794,3,0)</f>
        <v>ROHIT KUMAR</v>
      </c>
    </row>
    <row r="1717" spans="1:2" x14ac:dyDescent="0.25">
      <c r="A1717" s="7" t="s">
        <v>10</v>
      </c>
      <c r="B1717" s="10" t="s">
        <v>9</v>
      </c>
    </row>
    <row r="1718" spans="1:2" x14ac:dyDescent="0.25">
      <c r="A1718" s="7" t="s">
        <v>8</v>
      </c>
      <c r="B1718" s="9">
        <v>45870</v>
      </c>
    </row>
    <row r="1719" spans="1:2" x14ac:dyDescent="0.25">
      <c r="A1719" s="7" t="s">
        <v>7</v>
      </c>
      <c r="B1719" s="8">
        <f>VLOOKUP(D1711,'[1] Wages Sheet FORM XVII'!A$11:U1794,11,0)</f>
        <v>15</v>
      </c>
    </row>
    <row r="1720" spans="1:2" x14ac:dyDescent="0.25">
      <c r="A1720" s="7" t="s">
        <v>6</v>
      </c>
      <c r="B1720" s="7">
        <v>0</v>
      </c>
    </row>
    <row r="1721" spans="1:2" x14ac:dyDescent="0.25">
      <c r="A1721" s="7" t="s">
        <v>5</v>
      </c>
      <c r="B1721" s="7">
        <f>VLOOKUP(D1711,'[1] Wages Sheet FORM XVII'!A$11:U1794,12,0)</f>
        <v>480.77</v>
      </c>
    </row>
    <row r="1722" spans="1:2" x14ac:dyDescent="0.25">
      <c r="A1722" s="7" t="s">
        <v>4</v>
      </c>
      <c r="B1722" s="7" t="e">
        <f>VLOOKUP(D1711,'[1] Wages Sheet FORM XVII'!A$11:U$34,15,0)</f>
        <v>#N/A</v>
      </c>
    </row>
    <row r="1723" spans="1:2" x14ac:dyDescent="0.25">
      <c r="A1723" s="7" t="s">
        <v>3</v>
      </c>
      <c r="B1723" s="8">
        <f>VLOOKUP(D1711,'[1] Wages Sheet FORM XVII'!A$11:U1794,17,0)</f>
        <v>865</v>
      </c>
    </row>
    <row r="1724" spans="1:2" x14ac:dyDescent="0.25">
      <c r="A1724" s="7" t="s">
        <v>2</v>
      </c>
      <c r="B1724" s="8">
        <f>VLOOKUP(D1711,'[1] Wages Sheet FORM XVII'!A$11:U1794,20,0)</f>
        <v>920</v>
      </c>
    </row>
    <row r="1725" spans="1:2" x14ac:dyDescent="0.25">
      <c r="A1725" s="7" t="s">
        <v>1</v>
      </c>
      <c r="B1725" s="8">
        <f>VLOOKUP(D1711,'[1] Wages Sheet FORM XVII'!A$11:U1794,21,0)</f>
        <v>6351.5499999999993</v>
      </c>
    </row>
    <row r="1726" spans="1:2" x14ac:dyDescent="0.25">
      <c r="A1726" s="7"/>
      <c r="B1726" s="7"/>
    </row>
    <row r="1727" spans="1:2" x14ac:dyDescent="0.25">
      <c r="A1727" s="6"/>
      <c r="B1727" s="5" t="s">
        <v>0</v>
      </c>
    </row>
    <row r="1728" spans="1:2" x14ac:dyDescent="0.25">
      <c r="A1728" s="4"/>
      <c r="B1728" s="3"/>
    </row>
    <row r="1733" spans="1:4" ht="13.8" x14ac:dyDescent="0.25">
      <c r="A1733" s="18" t="s">
        <v>15</v>
      </c>
      <c r="B1733" s="17"/>
      <c r="D1733" s="1">
        <f>+D1711+1</f>
        <v>80</v>
      </c>
    </row>
    <row r="1734" spans="1:4" ht="13.8" x14ac:dyDescent="0.25">
      <c r="A1734" s="16" t="s">
        <v>14</v>
      </c>
      <c r="B1734" s="15"/>
    </row>
    <row r="1735" spans="1:4" ht="13.8" x14ac:dyDescent="0.25">
      <c r="A1735" s="14" t="s">
        <v>13</v>
      </c>
      <c r="B1735" s="13"/>
    </row>
    <row r="1736" spans="1:4" x14ac:dyDescent="0.25">
      <c r="A1736" s="6"/>
      <c r="B1736" s="5"/>
    </row>
    <row r="1737" spans="1:4" x14ac:dyDescent="0.25">
      <c r="A1737" s="12" t="s">
        <v>12</v>
      </c>
      <c r="B1737" s="11" t="str">
        <f>+'[1]FORM XIII'!$F$6</f>
        <v>SORYE CONTRUCTION</v>
      </c>
    </row>
    <row r="1738" spans="1:4" x14ac:dyDescent="0.25">
      <c r="A1738" s="7" t="s">
        <v>11</v>
      </c>
      <c r="B1738" s="7" t="str">
        <f>VLOOKUP(D1733,'[1] Wages Sheet FORM XVII'!A$11:U1816,3,0)</f>
        <v>BHOPINDRA</v>
      </c>
    </row>
    <row r="1739" spans="1:4" x14ac:dyDescent="0.25">
      <c r="A1739" s="7" t="s">
        <v>10</v>
      </c>
      <c r="B1739" s="10" t="s">
        <v>9</v>
      </c>
    </row>
    <row r="1740" spans="1:4" x14ac:dyDescent="0.25">
      <c r="A1740" s="7" t="s">
        <v>8</v>
      </c>
      <c r="B1740" s="9">
        <v>45870</v>
      </c>
    </row>
    <row r="1741" spans="1:4" x14ac:dyDescent="0.25">
      <c r="A1741" s="7" t="s">
        <v>7</v>
      </c>
      <c r="B1741" s="8">
        <f>VLOOKUP(D1733,'[1] Wages Sheet FORM XVII'!A$11:U1816,11,0)</f>
        <v>18</v>
      </c>
    </row>
    <row r="1742" spans="1:4" x14ac:dyDescent="0.25">
      <c r="A1742" s="7" t="s">
        <v>6</v>
      </c>
      <c r="B1742" s="7">
        <v>0</v>
      </c>
    </row>
    <row r="1743" spans="1:4" x14ac:dyDescent="0.25">
      <c r="A1743" s="7" t="s">
        <v>5</v>
      </c>
      <c r="B1743" s="7">
        <f>VLOOKUP(D1733,'[1] Wages Sheet FORM XVII'!A$11:U1816,12,0)</f>
        <v>480.77</v>
      </c>
    </row>
    <row r="1744" spans="1:4" x14ac:dyDescent="0.25">
      <c r="A1744" s="7" t="s">
        <v>4</v>
      </c>
      <c r="B1744" s="7" t="e">
        <f>VLOOKUP(D1733,'[1] Wages Sheet FORM XVII'!A$11:U$34,15,0)</f>
        <v>#N/A</v>
      </c>
    </row>
    <row r="1745" spans="1:4" x14ac:dyDescent="0.25">
      <c r="A1745" s="7" t="s">
        <v>3</v>
      </c>
      <c r="B1745" s="8">
        <f>VLOOKUP(D1733,'[1] Wages Sheet FORM XVII'!A$11:U1816,17,0)</f>
        <v>1038</v>
      </c>
    </row>
    <row r="1746" spans="1:4" x14ac:dyDescent="0.25">
      <c r="A1746" s="7" t="s">
        <v>2</v>
      </c>
      <c r="B1746" s="8">
        <f>VLOOKUP(D1733,'[1] Wages Sheet FORM XVII'!A$11:U1816,20,0)</f>
        <v>1112</v>
      </c>
    </row>
    <row r="1747" spans="1:4" x14ac:dyDescent="0.25">
      <c r="A1747" s="7" t="s">
        <v>1</v>
      </c>
      <c r="B1747" s="8">
        <f>VLOOKUP(D1733,'[1] Wages Sheet FORM XVII'!A$11:U1816,21,0)</f>
        <v>8803.86</v>
      </c>
    </row>
    <row r="1748" spans="1:4" x14ac:dyDescent="0.25">
      <c r="A1748" s="7"/>
      <c r="B1748" s="7"/>
    </row>
    <row r="1749" spans="1:4" x14ac:dyDescent="0.25">
      <c r="A1749" s="6"/>
      <c r="B1749" s="5" t="s">
        <v>0</v>
      </c>
    </row>
    <row r="1750" spans="1:4" x14ac:dyDescent="0.25">
      <c r="A1750" s="4"/>
      <c r="B1750" s="3"/>
    </row>
    <row r="1755" spans="1:4" ht="13.8" x14ac:dyDescent="0.25">
      <c r="A1755" s="18" t="s">
        <v>15</v>
      </c>
      <c r="B1755" s="17"/>
      <c r="C1755" s="19"/>
      <c r="D1755" s="1">
        <f>+D1733+1</f>
        <v>81</v>
      </c>
    </row>
    <row r="1756" spans="1:4" ht="13.8" x14ac:dyDescent="0.25">
      <c r="A1756" s="16" t="s">
        <v>14</v>
      </c>
      <c r="B1756" s="15"/>
      <c r="C1756" s="19"/>
    </row>
    <row r="1757" spans="1:4" ht="13.8" x14ac:dyDescent="0.25">
      <c r="A1757" s="14" t="s">
        <v>13</v>
      </c>
      <c r="B1757" s="13"/>
      <c r="C1757" s="19"/>
    </row>
    <row r="1758" spans="1:4" x14ac:dyDescent="0.25">
      <c r="A1758" s="6"/>
      <c r="B1758" s="5"/>
      <c r="C1758" s="19"/>
    </row>
    <row r="1759" spans="1:4" x14ac:dyDescent="0.25">
      <c r="A1759" s="12" t="s">
        <v>12</v>
      </c>
      <c r="B1759" s="11" t="str">
        <f>+'[1]FORM XIII'!$F$6</f>
        <v>SORYE CONTRUCTION</v>
      </c>
      <c r="C1759" s="19"/>
    </row>
    <row r="1760" spans="1:4" x14ac:dyDescent="0.25">
      <c r="A1760" s="7" t="s">
        <v>11</v>
      </c>
      <c r="B1760" s="7" t="str">
        <f>VLOOKUP(D1755,'[1] Wages Sheet FORM XVII'!A$11:U1838,3,0)</f>
        <v>VASEEM</v>
      </c>
      <c r="C1760" s="19"/>
    </row>
    <row r="1761" spans="1:3" x14ac:dyDescent="0.25">
      <c r="A1761" s="7" t="s">
        <v>10</v>
      </c>
      <c r="B1761" s="10" t="s">
        <v>9</v>
      </c>
      <c r="C1761" s="19"/>
    </row>
    <row r="1762" spans="1:3" x14ac:dyDescent="0.25">
      <c r="A1762" s="7" t="s">
        <v>8</v>
      </c>
      <c r="B1762" s="9">
        <v>45870</v>
      </c>
      <c r="C1762" s="19"/>
    </row>
    <row r="1763" spans="1:3" x14ac:dyDescent="0.25">
      <c r="A1763" s="7" t="s">
        <v>7</v>
      </c>
      <c r="B1763" s="8">
        <f>VLOOKUP(D1755,'[1] Wages Sheet FORM XVII'!A$11:U1838,11,0)</f>
        <v>2</v>
      </c>
      <c r="C1763" s="19"/>
    </row>
    <row r="1764" spans="1:3" x14ac:dyDescent="0.25">
      <c r="A1764" s="7" t="s">
        <v>6</v>
      </c>
      <c r="B1764" s="7">
        <v>0</v>
      </c>
      <c r="C1764" s="19"/>
    </row>
    <row r="1765" spans="1:3" x14ac:dyDescent="0.25">
      <c r="A1765" s="7" t="s">
        <v>5</v>
      </c>
      <c r="B1765" s="7">
        <f>VLOOKUP(D1755,'[1] Wages Sheet FORM XVII'!A$11:U1838,12,0)</f>
        <v>480.77</v>
      </c>
      <c r="C1765" s="19"/>
    </row>
    <row r="1766" spans="1:3" x14ac:dyDescent="0.25">
      <c r="A1766" s="7" t="s">
        <v>4</v>
      </c>
      <c r="B1766" s="7" t="e">
        <f>VLOOKUP(D1755,'[1] Wages Sheet FORM XVII'!A$11:U$34,15,0)</f>
        <v>#N/A</v>
      </c>
      <c r="C1766" s="19"/>
    </row>
    <row r="1767" spans="1:3" x14ac:dyDescent="0.25">
      <c r="A1767" s="7" t="s">
        <v>3</v>
      </c>
      <c r="B1767" s="8">
        <f>VLOOKUP(D1755,'[1] Wages Sheet FORM XVII'!A$11:U1838,17,0)</f>
        <v>115</v>
      </c>
      <c r="C1767" s="19"/>
    </row>
    <row r="1768" spans="1:3" x14ac:dyDescent="0.25">
      <c r="A1768" s="7" t="s">
        <v>2</v>
      </c>
      <c r="B1768" s="8">
        <f>VLOOKUP(D1755,'[1] Wages Sheet FORM XVII'!A$11:U1838,20,0)</f>
        <v>172</v>
      </c>
      <c r="C1768" s="19"/>
    </row>
    <row r="1769" spans="1:3" x14ac:dyDescent="0.25">
      <c r="A1769" s="7" t="s">
        <v>1</v>
      </c>
      <c r="B1769" s="8">
        <f>VLOOKUP(D1755,'[1] Wages Sheet FORM XVII'!A$11:U1838,21,0)</f>
        <v>789.54</v>
      </c>
      <c r="C1769" s="19"/>
    </row>
    <row r="1770" spans="1:3" x14ac:dyDescent="0.25">
      <c r="A1770" s="7"/>
      <c r="B1770" s="7"/>
      <c r="C1770" s="19"/>
    </row>
    <row r="1771" spans="1:3" x14ac:dyDescent="0.25">
      <c r="A1771" s="6"/>
      <c r="B1771" s="5" t="s">
        <v>0</v>
      </c>
      <c r="C1771" s="19"/>
    </row>
    <row r="1772" spans="1:3" x14ac:dyDescent="0.25">
      <c r="A1772" s="4"/>
      <c r="B1772" s="3"/>
      <c r="C1772" s="19"/>
    </row>
    <row r="1773" spans="1:3" x14ac:dyDescent="0.25">
      <c r="C1773" s="19"/>
    </row>
    <row r="1777" spans="1:4" ht="13.8" x14ac:dyDescent="0.25">
      <c r="A1777" s="18" t="s">
        <v>15</v>
      </c>
      <c r="B1777" s="17"/>
      <c r="D1777" s="1">
        <f>+D1755+1</f>
        <v>82</v>
      </c>
    </row>
    <row r="1778" spans="1:4" ht="13.8" x14ac:dyDescent="0.25">
      <c r="A1778" s="16" t="s">
        <v>14</v>
      </c>
      <c r="B1778" s="15"/>
    </row>
    <row r="1779" spans="1:4" ht="13.8" x14ac:dyDescent="0.25">
      <c r="A1779" s="14" t="s">
        <v>13</v>
      </c>
      <c r="B1779" s="13"/>
    </row>
    <row r="1780" spans="1:4" x14ac:dyDescent="0.25">
      <c r="A1780" s="6"/>
      <c r="B1780" s="5"/>
    </row>
    <row r="1781" spans="1:4" x14ac:dyDescent="0.25">
      <c r="A1781" s="12" t="s">
        <v>12</v>
      </c>
      <c r="B1781" s="11" t="str">
        <f>+'[1]FORM XIII'!$F$6</f>
        <v>SORYE CONTRUCTION</v>
      </c>
    </row>
    <row r="1782" spans="1:4" x14ac:dyDescent="0.25">
      <c r="A1782" s="7" t="s">
        <v>11</v>
      </c>
      <c r="B1782" s="7" t="str">
        <f>VLOOKUP(D1777,'[1] Wages Sheet FORM XVII'!A$11:U1860,3,0)</f>
        <v>BRIJESH</v>
      </c>
    </row>
    <row r="1783" spans="1:4" x14ac:dyDescent="0.25">
      <c r="A1783" s="7" t="s">
        <v>10</v>
      </c>
      <c r="B1783" s="10" t="s">
        <v>9</v>
      </c>
    </row>
    <row r="1784" spans="1:4" x14ac:dyDescent="0.25">
      <c r="A1784" s="7" t="s">
        <v>8</v>
      </c>
      <c r="B1784" s="9">
        <v>45870</v>
      </c>
    </row>
    <row r="1785" spans="1:4" x14ac:dyDescent="0.25">
      <c r="A1785" s="7" t="s">
        <v>7</v>
      </c>
      <c r="B1785" s="8">
        <f>VLOOKUP(D1777,'[1] Wages Sheet FORM XVII'!A$11:U1860,11,0)</f>
        <v>13</v>
      </c>
    </row>
    <row r="1786" spans="1:4" x14ac:dyDescent="0.25">
      <c r="A1786" s="7" t="s">
        <v>6</v>
      </c>
      <c r="B1786" s="7">
        <v>0</v>
      </c>
    </row>
    <row r="1787" spans="1:4" x14ac:dyDescent="0.25">
      <c r="A1787" s="7" t="s">
        <v>5</v>
      </c>
      <c r="B1787" s="7">
        <f>VLOOKUP(D1777,'[1] Wages Sheet FORM XVII'!A$11:U1860,12,0)</f>
        <v>480.77</v>
      </c>
    </row>
    <row r="1788" spans="1:4" x14ac:dyDescent="0.25">
      <c r="A1788" s="7" t="s">
        <v>4</v>
      </c>
      <c r="B1788" s="7" t="e">
        <f>VLOOKUP(D1777,'[1] Wages Sheet FORM XVII'!A$11:U$34,15,0)</f>
        <v>#N/A</v>
      </c>
    </row>
    <row r="1789" spans="1:4" x14ac:dyDescent="0.25">
      <c r="A1789" s="7" t="s">
        <v>3</v>
      </c>
      <c r="B1789" s="8">
        <f>VLOOKUP(D1777,'[1] Wages Sheet FORM XVII'!A$11:U1860,17,0)</f>
        <v>750</v>
      </c>
    </row>
    <row r="1790" spans="1:4" x14ac:dyDescent="0.25">
      <c r="A1790" s="7" t="s">
        <v>2</v>
      </c>
      <c r="B1790" s="8">
        <f>VLOOKUP(D1777,'[1] Wages Sheet FORM XVII'!A$11:U1860,20,0)</f>
        <v>797</v>
      </c>
    </row>
    <row r="1791" spans="1:4" x14ac:dyDescent="0.25">
      <c r="A1791" s="7" t="s">
        <v>1</v>
      </c>
      <c r="B1791" s="8">
        <f>VLOOKUP(D1777,'[1] Wages Sheet FORM XVII'!A$11:U1860,21,0)</f>
        <v>5453.01</v>
      </c>
    </row>
    <row r="1792" spans="1:4" x14ac:dyDescent="0.25">
      <c r="A1792" s="7"/>
      <c r="B1792" s="7"/>
    </row>
    <row r="1793" spans="1:4" x14ac:dyDescent="0.25">
      <c r="A1793" s="6"/>
      <c r="B1793" s="5" t="s">
        <v>0</v>
      </c>
    </row>
    <row r="1794" spans="1:4" x14ac:dyDescent="0.25">
      <c r="A1794" s="4"/>
      <c r="B1794" s="3"/>
    </row>
    <row r="1799" spans="1:4" ht="13.8" x14ac:dyDescent="0.25">
      <c r="A1799" s="18" t="s">
        <v>15</v>
      </c>
      <c r="B1799" s="17"/>
      <c r="D1799" s="1">
        <f>+D1777+1</f>
        <v>83</v>
      </c>
    </row>
    <row r="1800" spans="1:4" ht="13.8" x14ac:dyDescent="0.25">
      <c r="A1800" s="16" t="s">
        <v>14</v>
      </c>
      <c r="B1800" s="15"/>
    </row>
    <row r="1801" spans="1:4" ht="13.8" x14ac:dyDescent="0.25">
      <c r="A1801" s="14" t="s">
        <v>13</v>
      </c>
      <c r="B1801" s="13"/>
    </row>
    <row r="1802" spans="1:4" x14ac:dyDescent="0.25">
      <c r="A1802" s="6"/>
      <c r="B1802" s="5"/>
    </row>
    <row r="1803" spans="1:4" x14ac:dyDescent="0.25">
      <c r="A1803" s="12" t="s">
        <v>12</v>
      </c>
      <c r="B1803" s="11" t="str">
        <f>+'[1]FORM XIII'!$F$6</f>
        <v>SORYE CONTRUCTION</v>
      </c>
    </row>
    <row r="1804" spans="1:4" x14ac:dyDescent="0.25">
      <c r="A1804" s="7" t="s">
        <v>11</v>
      </c>
      <c r="B1804" s="7" t="str">
        <f>VLOOKUP(D1799,'[1] Wages Sheet FORM XVII'!A$11:U1882,3,0)</f>
        <v>RAJAN</v>
      </c>
    </row>
    <row r="1805" spans="1:4" x14ac:dyDescent="0.25">
      <c r="A1805" s="7" t="s">
        <v>10</v>
      </c>
      <c r="B1805" s="10" t="s">
        <v>9</v>
      </c>
    </row>
    <row r="1806" spans="1:4" x14ac:dyDescent="0.25">
      <c r="A1806" s="7" t="s">
        <v>8</v>
      </c>
      <c r="B1806" s="9">
        <v>45870</v>
      </c>
    </row>
    <row r="1807" spans="1:4" x14ac:dyDescent="0.25">
      <c r="A1807" s="7" t="s">
        <v>7</v>
      </c>
      <c r="B1807" s="8">
        <f>VLOOKUP(D1799,'[1] Wages Sheet FORM XVII'!A$11:U1882,11,0)</f>
        <v>18</v>
      </c>
    </row>
    <row r="1808" spans="1:4" x14ac:dyDescent="0.25">
      <c r="A1808" s="7" t="s">
        <v>6</v>
      </c>
      <c r="B1808" s="7">
        <v>0</v>
      </c>
    </row>
    <row r="1809" spans="1:4" x14ac:dyDescent="0.25">
      <c r="A1809" s="7" t="s">
        <v>5</v>
      </c>
      <c r="B1809" s="7">
        <f>VLOOKUP(D1799,'[1] Wages Sheet FORM XVII'!A$11:U1882,12,0)</f>
        <v>480.77</v>
      </c>
    </row>
    <row r="1810" spans="1:4" x14ac:dyDescent="0.25">
      <c r="A1810" s="7" t="s">
        <v>4</v>
      </c>
      <c r="B1810" s="7" t="e">
        <f>VLOOKUP(D1799,'[1] Wages Sheet FORM XVII'!A$11:U$34,15,0)</f>
        <v>#N/A</v>
      </c>
    </row>
    <row r="1811" spans="1:4" x14ac:dyDescent="0.25">
      <c r="A1811" s="7" t="s">
        <v>3</v>
      </c>
      <c r="B1811" s="8">
        <f>VLOOKUP(D1799,'[1] Wages Sheet FORM XVII'!A$11:U1882,17,0)</f>
        <v>1038</v>
      </c>
    </row>
    <row r="1812" spans="1:4" x14ac:dyDescent="0.25">
      <c r="A1812" s="7" t="s">
        <v>2</v>
      </c>
      <c r="B1812" s="8">
        <f>VLOOKUP(D1799,'[1] Wages Sheet FORM XVII'!A$11:U1882,20,0)</f>
        <v>1107</v>
      </c>
    </row>
    <row r="1813" spans="1:4" x14ac:dyDescent="0.25">
      <c r="A1813" s="7" t="s">
        <v>1</v>
      </c>
      <c r="B1813" s="8">
        <f>VLOOKUP(D1799,'[1] Wages Sheet FORM XVII'!A$11:U1882,21,0)</f>
        <v>8027.8600000000006</v>
      </c>
    </row>
    <row r="1814" spans="1:4" x14ac:dyDescent="0.25">
      <c r="A1814" s="7"/>
      <c r="B1814" s="7"/>
    </row>
    <row r="1815" spans="1:4" x14ac:dyDescent="0.25">
      <c r="A1815" s="6"/>
      <c r="B1815" s="5" t="s">
        <v>0</v>
      </c>
    </row>
    <row r="1816" spans="1:4" x14ac:dyDescent="0.25">
      <c r="A1816" s="4"/>
      <c r="B1816" s="3"/>
    </row>
    <row r="1821" spans="1:4" ht="13.8" x14ac:dyDescent="0.25">
      <c r="A1821" s="18" t="s">
        <v>15</v>
      </c>
      <c r="B1821" s="17"/>
      <c r="D1821" s="1">
        <f>+D1799+1</f>
        <v>84</v>
      </c>
    </row>
    <row r="1822" spans="1:4" ht="13.8" x14ac:dyDescent="0.25">
      <c r="A1822" s="16" t="s">
        <v>14</v>
      </c>
      <c r="B1822" s="15"/>
    </row>
    <row r="1823" spans="1:4" ht="13.8" x14ac:dyDescent="0.25">
      <c r="A1823" s="14" t="s">
        <v>13</v>
      </c>
      <c r="B1823" s="13"/>
    </row>
    <row r="1824" spans="1:4" x14ac:dyDescent="0.25">
      <c r="A1824" s="6"/>
      <c r="B1824" s="5"/>
    </row>
    <row r="1825" spans="1:2" x14ac:dyDescent="0.25">
      <c r="A1825" s="12" t="s">
        <v>12</v>
      </c>
      <c r="B1825" s="11" t="str">
        <f>+'[1]FORM XIII'!$F$6</f>
        <v>SORYE CONTRUCTION</v>
      </c>
    </row>
    <row r="1826" spans="1:2" x14ac:dyDescent="0.25">
      <c r="A1826" s="7" t="s">
        <v>11</v>
      </c>
      <c r="B1826" s="7" t="str">
        <f>VLOOKUP(D1821,'[1] Wages Sheet FORM XVII'!A$11:U1904,3,0)</f>
        <v>KULDEEP</v>
      </c>
    </row>
    <row r="1827" spans="1:2" x14ac:dyDescent="0.25">
      <c r="A1827" s="7" t="s">
        <v>10</v>
      </c>
      <c r="B1827" s="10" t="s">
        <v>9</v>
      </c>
    </row>
    <row r="1828" spans="1:2" x14ac:dyDescent="0.25">
      <c r="A1828" s="7" t="s">
        <v>8</v>
      </c>
      <c r="B1828" s="9">
        <v>45870</v>
      </c>
    </row>
    <row r="1829" spans="1:2" x14ac:dyDescent="0.25">
      <c r="A1829" s="7" t="s">
        <v>7</v>
      </c>
      <c r="B1829" s="8">
        <f>VLOOKUP(D1821,'[1] Wages Sheet FORM XVII'!A$11:U1904,11,0)</f>
        <v>9.5</v>
      </c>
    </row>
    <row r="1830" spans="1:2" x14ac:dyDescent="0.25">
      <c r="A1830" s="7" t="s">
        <v>6</v>
      </c>
      <c r="B1830" s="7">
        <v>0</v>
      </c>
    </row>
    <row r="1831" spans="1:2" x14ac:dyDescent="0.25">
      <c r="A1831" s="7" t="s">
        <v>5</v>
      </c>
      <c r="B1831" s="7">
        <f>VLOOKUP(D1821,'[1] Wages Sheet FORM XVII'!A$11:U1904,12,0)</f>
        <v>480.77</v>
      </c>
    </row>
    <row r="1832" spans="1:2" x14ac:dyDescent="0.25">
      <c r="A1832" s="7" t="s">
        <v>4</v>
      </c>
      <c r="B1832" s="7" t="e">
        <f>VLOOKUP(D1821,'[1] Wages Sheet FORM XVII'!A$11:U$34,15,0)</f>
        <v>#N/A</v>
      </c>
    </row>
    <row r="1833" spans="1:2" x14ac:dyDescent="0.25">
      <c r="A1833" s="7" t="s">
        <v>3</v>
      </c>
      <c r="B1833" s="8">
        <f>VLOOKUP(D1821,'[1] Wages Sheet FORM XVII'!A$11:U1904,17,0)</f>
        <v>548</v>
      </c>
    </row>
    <row r="1834" spans="1:2" x14ac:dyDescent="0.25">
      <c r="A1834" s="7" t="s">
        <v>2</v>
      </c>
      <c r="B1834" s="8">
        <f>VLOOKUP(D1821,'[1] Wages Sheet FORM XVII'!A$11:U1904,20,0)</f>
        <v>582</v>
      </c>
    </row>
    <row r="1835" spans="1:2" x14ac:dyDescent="0.25">
      <c r="A1835" s="7" t="s">
        <v>1</v>
      </c>
      <c r="B1835" s="8">
        <f>VLOOKUP(D1821,'[1] Wages Sheet FORM XVII'!A$11:U1904,21,0)</f>
        <v>3985.3149999999996</v>
      </c>
    </row>
    <row r="1836" spans="1:2" x14ac:dyDescent="0.25">
      <c r="A1836" s="7"/>
      <c r="B1836" s="7"/>
    </row>
    <row r="1837" spans="1:2" x14ac:dyDescent="0.25">
      <c r="A1837" s="6"/>
      <c r="B1837" s="5" t="s">
        <v>0</v>
      </c>
    </row>
    <row r="1838" spans="1:2" x14ac:dyDescent="0.25">
      <c r="A1838" s="4"/>
      <c r="B1838" s="3"/>
    </row>
    <row r="1843" spans="1:4" ht="13.8" x14ac:dyDescent="0.25">
      <c r="A1843" s="18" t="s">
        <v>15</v>
      </c>
      <c r="B1843" s="17"/>
      <c r="C1843" s="19"/>
      <c r="D1843" s="1">
        <f>+D1821+1</f>
        <v>85</v>
      </c>
    </row>
    <row r="1844" spans="1:4" ht="13.8" x14ac:dyDescent="0.25">
      <c r="A1844" s="16" t="s">
        <v>14</v>
      </c>
      <c r="B1844" s="15"/>
      <c r="C1844" s="19"/>
    </row>
    <row r="1845" spans="1:4" ht="13.8" x14ac:dyDescent="0.25">
      <c r="A1845" s="14" t="s">
        <v>13</v>
      </c>
      <c r="B1845" s="13"/>
      <c r="C1845" s="19"/>
    </row>
    <row r="1846" spans="1:4" x14ac:dyDescent="0.25">
      <c r="A1846" s="6"/>
      <c r="B1846" s="5"/>
      <c r="C1846" s="19"/>
    </row>
    <row r="1847" spans="1:4" x14ac:dyDescent="0.25">
      <c r="A1847" s="12" t="s">
        <v>12</v>
      </c>
      <c r="B1847" s="11" t="str">
        <f>+'[1]FORM XIII'!$F$6</f>
        <v>SORYE CONTRUCTION</v>
      </c>
      <c r="C1847" s="19"/>
    </row>
    <row r="1848" spans="1:4" x14ac:dyDescent="0.25">
      <c r="A1848" s="7" t="s">
        <v>11</v>
      </c>
      <c r="B1848" s="7" t="str">
        <f>VLOOKUP(D1843,'[1] Wages Sheet FORM XVII'!A$11:U1926,3,0)</f>
        <v>NITIN KUMAR</v>
      </c>
      <c r="C1848" s="19"/>
    </row>
    <row r="1849" spans="1:4" x14ac:dyDescent="0.25">
      <c r="A1849" s="7" t="s">
        <v>10</v>
      </c>
      <c r="B1849" s="10" t="s">
        <v>9</v>
      </c>
      <c r="C1849" s="19"/>
    </row>
    <row r="1850" spans="1:4" x14ac:dyDescent="0.25">
      <c r="A1850" s="7" t="s">
        <v>8</v>
      </c>
      <c r="B1850" s="9">
        <v>45870</v>
      </c>
      <c r="C1850" s="19"/>
    </row>
    <row r="1851" spans="1:4" x14ac:dyDescent="0.25">
      <c r="A1851" s="7" t="s">
        <v>7</v>
      </c>
      <c r="B1851" s="8">
        <f>VLOOKUP(D1843,'[1] Wages Sheet FORM XVII'!A$11:U1926,11,0)</f>
        <v>17</v>
      </c>
      <c r="C1851" s="19"/>
    </row>
    <row r="1852" spans="1:4" x14ac:dyDescent="0.25">
      <c r="A1852" s="7" t="s">
        <v>6</v>
      </c>
      <c r="B1852" s="7">
        <v>0</v>
      </c>
      <c r="C1852" s="19"/>
    </row>
    <row r="1853" spans="1:4" x14ac:dyDescent="0.25">
      <c r="A1853" s="7" t="s">
        <v>5</v>
      </c>
      <c r="B1853" s="7">
        <f>VLOOKUP(D1843,'[1] Wages Sheet FORM XVII'!A$11:U1926,12,0)</f>
        <v>480.77</v>
      </c>
      <c r="C1853" s="19"/>
    </row>
    <row r="1854" spans="1:4" x14ac:dyDescent="0.25">
      <c r="A1854" s="7" t="s">
        <v>4</v>
      </c>
      <c r="B1854" s="7" t="e">
        <f>VLOOKUP(D1843,'[1] Wages Sheet FORM XVII'!A$11:U$34,15,0)</f>
        <v>#N/A</v>
      </c>
      <c r="C1854" s="19"/>
    </row>
    <row r="1855" spans="1:4" x14ac:dyDescent="0.25">
      <c r="A1855" s="7" t="s">
        <v>3</v>
      </c>
      <c r="B1855" s="8">
        <f>VLOOKUP(D1843,'[1] Wages Sheet FORM XVII'!A$11:U1926,17,0)</f>
        <v>981</v>
      </c>
      <c r="C1855" s="19"/>
    </row>
    <row r="1856" spans="1:4" x14ac:dyDescent="0.25">
      <c r="A1856" s="7" t="s">
        <v>2</v>
      </c>
      <c r="B1856" s="8">
        <f>VLOOKUP(D1843,'[1] Wages Sheet FORM XVII'!A$11:U1926,20,0)</f>
        <v>1050</v>
      </c>
      <c r="C1856" s="19"/>
    </row>
    <row r="1857" spans="1:4" x14ac:dyDescent="0.25">
      <c r="A1857" s="7" t="s">
        <v>1</v>
      </c>
      <c r="B1857" s="8">
        <f>VLOOKUP(D1843,'[1] Wages Sheet FORM XVII'!A$11:U1926,21,0)</f>
        <v>8085.09</v>
      </c>
      <c r="C1857" s="19"/>
    </row>
    <row r="1858" spans="1:4" x14ac:dyDescent="0.25">
      <c r="A1858" s="7"/>
      <c r="B1858" s="7"/>
      <c r="C1858" s="19"/>
    </row>
    <row r="1859" spans="1:4" x14ac:dyDescent="0.25">
      <c r="A1859" s="6"/>
      <c r="B1859" s="5" t="s">
        <v>0</v>
      </c>
      <c r="C1859" s="19"/>
    </row>
    <row r="1860" spans="1:4" x14ac:dyDescent="0.25">
      <c r="A1860" s="4"/>
      <c r="B1860" s="3"/>
      <c r="C1860" s="19"/>
    </row>
    <row r="1861" spans="1:4" x14ac:dyDescent="0.25">
      <c r="C1861" s="19"/>
    </row>
    <row r="1865" spans="1:4" ht="13.8" x14ac:dyDescent="0.25">
      <c r="A1865" s="18" t="s">
        <v>15</v>
      </c>
      <c r="B1865" s="17"/>
      <c r="D1865" s="1">
        <f>+D1843+1</f>
        <v>86</v>
      </c>
    </row>
    <row r="1866" spans="1:4" ht="13.8" x14ac:dyDescent="0.25">
      <c r="A1866" s="16" t="s">
        <v>14</v>
      </c>
      <c r="B1866" s="15"/>
    </row>
    <row r="1867" spans="1:4" ht="13.8" x14ac:dyDescent="0.25">
      <c r="A1867" s="14" t="s">
        <v>13</v>
      </c>
      <c r="B1867" s="13"/>
    </row>
    <row r="1868" spans="1:4" x14ac:dyDescent="0.25">
      <c r="A1868" s="6"/>
      <c r="B1868" s="5"/>
    </row>
    <row r="1869" spans="1:4" x14ac:dyDescent="0.25">
      <c r="A1869" s="12" t="s">
        <v>12</v>
      </c>
      <c r="B1869" s="11" t="str">
        <f>+'[1]FORM XIII'!$F$6</f>
        <v>SORYE CONTRUCTION</v>
      </c>
    </row>
    <row r="1870" spans="1:4" x14ac:dyDescent="0.25">
      <c r="A1870" s="7" t="s">
        <v>11</v>
      </c>
      <c r="B1870" s="7" t="str">
        <f>VLOOKUP(D1865,'[1] Wages Sheet FORM XVII'!A$11:U1948,3,0)</f>
        <v>AASHIPH</v>
      </c>
    </row>
    <row r="1871" spans="1:4" x14ac:dyDescent="0.25">
      <c r="A1871" s="7" t="s">
        <v>10</v>
      </c>
      <c r="B1871" s="10" t="s">
        <v>9</v>
      </c>
    </row>
    <row r="1872" spans="1:4" x14ac:dyDescent="0.25">
      <c r="A1872" s="7" t="s">
        <v>8</v>
      </c>
      <c r="B1872" s="9">
        <v>45870</v>
      </c>
    </row>
    <row r="1873" spans="1:4" x14ac:dyDescent="0.25">
      <c r="A1873" s="7" t="s">
        <v>7</v>
      </c>
      <c r="B1873" s="8">
        <f>VLOOKUP(D1865,'[1] Wages Sheet FORM XVII'!A$11:U1948,11,0)</f>
        <v>4</v>
      </c>
    </row>
    <row r="1874" spans="1:4" x14ac:dyDescent="0.25">
      <c r="A1874" s="7" t="s">
        <v>6</v>
      </c>
      <c r="B1874" s="7">
        <v>0</v>
      </c>
    </row>
    <row r="1875" spans="1:4" x14ac:dyDescent="0.25">
      <c r="A1875" s="7" t="s">
        <v>5</v>
      </c>
      <c r="B1875" s="7">
        <f>VLOOKUP(D1865,'[1] Wages Sheet FORM XVII'!A$11:U1948,12,0)</f>
        <v>480.77</v>
      </c>
    </row>
    <row r="1876" spans="1:4" x14ac:dyDescent="0.25">
      <c r="A1876" s="7" t="s">
        <v>4</v>
      </c>
      <c r="B1876" s="7" t="e">
        <f>VLOOKUP(D1865,'[1] Wages Sheet FORM XVII'!A$11:U$34,15,0)</f>
        <v>#N/A</v>
      </c>
    </row>
    <row r="1877" spans="1:4" x14ac:dyDescent="0.25">
      <c r="A1877" s="7" t="s">
        <v>3</v>
      </c>
      <c r="B1877" s="8">
        <f>VLOOKUP(D1865,'[1] Wages Sheet FORM XVII'!A$11:U1948,17,0)</f>
        <v>231</v>
      </c>
    </row>
    <row r="1878" spans="1:4" x14ac:dyDescent="0.25">
      <c r="A1878" s="7" t="s">
        <v>2</v>
      </c>
      <c r="B1878" s="8">
        <f>VLOOKUP(D1865,'[1] Wages Sheet FORM XVII'!A$11:U1948,20,0)</f>
        <v>245</v>
      </c>
    </row>
    <row r="1879" spans="1:4" x14ac:dyDescent="0.25">
      <c r="A1879" s="7" t="s">
        <v>1</v>
      </c>
      <c r="B1879" s="8">
        <f>VLOOKUP(D1865,'[1] Wages Sheet FORM XVII'!A$11:U1948,21,0)</f>
        <v>1678.08</v>
      </c>
    </row>
    <row r="1880" spans="1:4" x14ac:dyDescent="0.25">
      <c r="A1880" s="7"/>
      <c r="B1880" s="7"/>
    </row>
    <row r="1881" spans="1:4" x14ac:dyDescent="0.25">
      <c r="A1881" s="6"/>
      <c r="B1881" s="5" t="s">
        <v>0</v>
      </c>
    </row>
    <row r="1882" spans="1:4" x14ac:dyDescent="0.25">
      <c r="A1882" s="4"/>
      <c r="B1882" s="3"/>
    </row>
    <row r="1887" spans="1:4" ht="13.8" x14ac:dyDescent="0.25">
      <c r="A1887" s="18" t="s">
        <v>15</v>
      </c>
      <c r="B1887" s="17"/>
      <c r="D1887" s="1">
        <f>+D1865+1</f>
        <v>87</v>
      </c>
    </row>
    <row r="1888" spans="1:4" ht="13.8" x14ac:dyDescent="0.25">
      <c r="A1888" s="16" t="s">
        <v>14</v>
      </c>
      <c r="B1888" s="15"/>
    </row>
    <row r="1889" spans="1:2" ht="13.8" x14ac:dyDescent="0.25">
      <c r="A1889" s="14" t="s">
        <v>13</v>
      </c>
      <c r="B1889" s="13"/>
    </row>
    <row r="1890" spans="1:2" x14ac:dyDescent="0.25">
      <c r="A1890" s="6"/>
      <c r="B1890" s="5"/>
    </row>
    <row r="1891" spans="1:2" x14ac:dyDescent="0.25">
      <c r="A1891" s="12" t="s">
        <v>12</v>
      </c>
      <c r="B1891" s="11" t="str">
        <f>+'[1]FORM XIII'!$F$6</f>
        <v>SORYE CONTRUCTION</v>
      </c>
    </row>
    <row r="1892" spans="1:2" x14ac:dyDescent="0.25">
      <c r="A1892" s="7" t="s">
        <v>11</v>
      </c>
      <c r="B1892" s="7" t="str">
        <f>VLOOKUP(D1887,'[1] Wages Sheet FORM XVII'!A$11:U1970,3,0)</f>
        <v>JAVED</v>
      </c>
    </row>
    <row r="1893" spans="1:2" x14ac:dyDescent="0.25">
      <c r="A1893" s="7" t="s">
        <v>10</v>
      </c>
      <c r="B1893" s="10" t="s">
        <v>9</v>
      </c>
    </row>
    <row r="1894" spans="1:2" x14ac:dyDescent="0.25">
      <c r="A1894" s="7" t="s">
        <v>8</v>
      </c>
      <c r="B1894" s="9">
        <v>45870</v>
      </c>
    </row>
    <row r="1895" spans="1:2" x14ac:dyDescent="0.25">
      <c r="A1895" s="7" t="s">
        <v>7</v>
      </c>
      <c r="B1895" s="8">
        <f>VLOOKUP(D1887,'[1] Wages Sheet FORM XVII'!A$11:U1970,11,0)</f>
        <v>18</v>
      </c>
    </row>
    <row r="1896" spans="1:2" x14ac:dyDescent="0.25">
      <c r="A1896" s="7" t="s">
        <v>6</v>
      </c>
      <c r="B1896" s="7">
        <v>0</v>
      </c>
    </row>
    <row r="1897" spans="1:2" x14ac:dyDescent="0.25">
      <c r="A1897" s="7" t="s">
        <v>5</v>
      </c>
      <c r="B1897" s="7">
        <f>VLOOKUP(D1887,'[1] Wages Sheet FORM XVII'!A$11:U1970,12,0)</f>
        <v>480.77</v>
      </c>
    </row>
    <row r="1898" spans="1:2" x14ac:dyDescent="0.25">
      <c r="A1898" s="7" t="s">
        <v>4</v>
      </c>
      <c r="B1898" s="7" t="e">
        <f>VLOOKUP(D1887,'[1] Wages Sheet FORM XVII'!A$11:U$34,15,0)</f>
        <v>#N/A</v>
      </c>
    </row>
    <row r="1899" spans="1:2" x14ac:dyDescent="0.25">
      <c r="A1899" s="7" t="s">
        <v>3</v>
      </c>
      <c r="B1899" s="8">
        <f>VLOOKUP(D1887,'[1] Wages Sheet FORM XVII'!A$11:U1970,17,0)</f>
        <v>1038</v>
      </c>
    </row>
    <row r="1900" spans="1:2" x14ac:dyDescent="0.25">
      <c r="A1900" s="7" t="s">
        <v>2</v>
      </c>
      <c r="B1900" s="8">
        <f>VLOOKUP(D1887,'[1] Wages Sheet FORM XVII'!A$11:U1970,20,0)</f>
        <v>1105</v>
      </c>
    </row>
    <row r="1901" spans="1:2" x14ac:dyDescent="0.25">
      <c r="A1901" s="7" t="s">
        <v>1</v>
      </c>
      <c r="B1901" s="8">
        <f>VLOOKUP(D1887,'[1] Wages Sheet FORM XVII'!A$11:U1970,21,0)</f>
        <v>7848.8600000000006</v>
      </c>
    </row>
    <row r="1902" spans="1:2" x14ac:dyDescent="0.25">
      <c r="A1902" s="7"/>
      <c r="B1902" s="7"/>
    </row>
    <row r="1903" spans="1:2" x14ac:dyDescent="0.25">
      <c r="A1903" s="6"/>
      <c r="B1903" s="5" t="s">
        <v>0</v>
      </c>
    </row>
    <row r="1904" spans="1:2" x14ac:dyDescent="0.25">
      <c r="A1904" s="4"/>
      <c r="B1904" s="3"/>
    </row>
    <row r="1909" spans="1:4" ht="13.8" x14ac:dyDescent="0.25">
      <c r="A1909" s="18" t="s">
        <v>15</v>
      </c>
      <c r="B1909" s="17"/>
      <c r="D1909" s="1">
        <f>+D1887+1</f>
        <v>88</v>
      </c>
    </row>
    <row r="1910" spans="1:4" ht="13.8" x14ac:dyDescent="0.25">
      <c r="A1910" s="16" t="s">
        <v>14</v>
      </c>
      <c r="B1910" s="15"/>
    </row>
    <row r="1911" spans="1:4" ht="13.8" x14ac:dyDescent="0.25">
      <c r="A1911" s="14" t="s">
        <v>13</v>
      </c>
      <c r="B1911" s="13"/>
    </row>
    <row r="1912" spans="1:4" x14ac:dyDescent="0.25">
      <c r="A1912" s="6"/>
      <c r="B1912" s="5"/>
    </row>
    <row r="1913" spans="1:4" x14ac:dyDescent="0.25">
      <c r="A1913" s="12" t="s">
        <v>12</v>
      </c>
      <c r="B1913" s="11" t="str">
        <f>+'[1]FORM XIII'!$F$6</f>
        <v>SORYE CONTRUCTION</v>
      </c>
    </row>
    <row r="1914" spans="1:4" x14ac:dyDescent="0.25">
      <c r="A1914" s="7" t="s">
        <v>11</v>
      </c>
      <c r="B1914" s="7" t="str">
        <f>VLOOKUP(D1909,'[1] Wages Sheet FORM XVII'!A$11:U1992,3,0)</f>
        <v>AJAY</v>
      </c>
    </row>
    <row r="1915" spans="1:4" x14ac:dyDescent="0.25">
      <c r="A1915" s="7" t="s">
        <v>10</v>
      </c>
      <c r="B1915" s="10" t="s">
        <v>9</v>
      </c>
    </row>
    <row r="1916" spans="1:4" x14ac:dyDescent="0.25">
      <c r="A1916" s="7" t="s">
        <v>8</v>
      </c>
      <c r="B1916" s="9">
        <v>45870</v>
      </c>
    </row>
    <row r="1917" spans="1:4" x14ac:dyDescent="0.25">
      <c r="A1917" s="7" t="s">
        <v>7</v>
      </c>
      <c r="B1917" s="8">
        <f>VLOOKUP(D1909,'[1] Wages Sheet FORM XVII'!A$11:U1992,11,0)</f>
        <v>16</v>
      </c>
    </row>
    <row r="1918" spans="1:4" x14ac:dyDescent="0.25">
      <c r="A1918" s="7" t="s">
        <v>6</v>
      </c>
      <c r="B1918" s="7">
        <v>0</v>
      </c>
    </row>
    <row r="1919" spans="1:4" x14ac:dyDescent="0.25">
      <c r="A1919" s="7" t="s">
        <v>5</v>
      </c>
      <c r="B1919" s="7">
        <f>VLOOKUP(D1909,'[1] Wages Sheet FORM XVII'!A$11:U1992,12,0)</f>
        <v>480.77</v>
      </c>
    </row>
    <row r="1920" spans="1:4" x14ac:dyDescent="0.25">
      <c r="A1920" s="7" t="s">
        <v>4</v>
      </c>
      <c r="B1920" s="7" t="e">
        <f>VLOOKUP(D1909,'[1] Wages Sheet FORM XVII'!A$11:U$34,15,0)</f>
        <v>#N/A</v>
      </c>
    </row>
    <row r="1921" spans="1:4" x14ac:dyDescent="0.25">
      <c r="A1921" s="7" t="s">
        <v>3</v>
      </c>
      <c r="B1921" s="8">
        <f>VLOOKUP(D1909,'[1] Wages Sheet FORM XVII'!A$11:U1992,17,0)</f>
        <v>923</v>
      </c>
    </row>
    <row r="1922" spans="1:4" x14ac:dyDescent="0.25">
      <c r="A1922" s="7" t="s">
        <v>2</v>
      </c>
      <c r="B1922" s="8">
        <f>VLOOKUP(D1909,'[1] Wages Sheet FORM XVII'!A$11:U1992,20,0)</f>
        <v>985</v>
      </c>
    </row>
    <row r="1923" spans="1:4" x14ac:dyDescent="0.25">
      <c r="A1923" s="7" t="s">
        <v>1</v>
      </c>
      <c r="B1923" s="8">
        <f>VLOOKUP(D1909,'[1] Wages Sheet FORM XVII'!A$11:U1992,21,0)</f>
        <v>7248.32</v>
      </c>
    </row>
    <row r="1924" spans="1:4" x14ac:dyDescent="0.25">
      <c r="A1924" s="7"/>
      <c r="B1924" s="7"/>
    </row>
    <row r="1925" spans="1:4" x14ac:dyDescent="0.25">
      <c r="A1925" s="6"/>
      <c r="B1925" s="5" t="s">
        <v>0</v>
      </c>
    </row>
    <row r="1926" spans="1:4" x14ac:dyDescent="0.25">
      <c r="A1926" s="4"/>
      <c r="B1926" s="3"/>
    </row>
    <row r="1931" spans="1:4" ht="13.8" x14ac:dyDescent="0.25">
      <c r="A1931" s="18" t="s">
        <v>15</v>
      </c>
      <c r="B1931" s="17"/>
      <c r="C1931" s="19"/>
      <c r="D1931" s="1">
        <f>+D1909+1</f>
        <v>89</v>
      </c>
    </row>
    <row r="1932" spans="1:4" ht="13.8" x14ac:dyDescent="0.25">
      <c r="A1932" s="16" t="s">
        <v>14</v>
      </c>
      <c r="B1932" s="15"/>
      <c r="C1932" s="19"/>
    </row>
    <row r="1933" spans="1:4" ht="13.8" x14ac:dyDescent="0.25">
      <c r="A1933" s="14" t="s">
        <v>13</v>
      </c>
      <c r="B1933" s="13"/>
      <c r="C1933" s="19"/>
    </row>
    <row r="1934" spans="1:4" x14ac:dyDescent="0.25">
      <c r="A1934" s="6"/>
      <c r="B1934" s="5"/>
      <c r="C1934" s="19"/>
    </row>
    <row r="1935" spans="1:4" x14ac:dyDescent="0.25">
      <c r="A1935" s="12" t="s">
        <v>12</v>
      </c>
      <c r="B1935" s="11" t="str">
        <f>+'[1]FORM XIII'!$F$6</f>
        <v>SORYE CONTRUCTION</v>
      </c>
      <c r="C1935" s="19"/>
    </row>
    <row r="1936" spans="1:4" x14ac:dyDescent="0.25">
      <c r="A1936" s="7" t="s">
        <v>11</v>
      </c>
      <c r="B1936" s="7" t="str">
        <f>VLOOKUP(D1931,'[1] Wages Sheet FORM XVII'!A$11:U2014,3,0)</f>
        <v>ABHISHEK</v>
      </c>
      <c r="C1936" s="19"/>
    </row>
    <row r="1937" spans="1:3" x14ac:dyDescent="0.25">
      <c r="A1937" s="7" t="s">
        <v>10</v>
      </c>
      <c r="B1937" s="10" t="s">
        <v>9</v>
      </c>
      <c r="C1937" s="19"/>
    </row>
    <row r="1938" spans="1:3" x14ac:dyDescent="0.25">
      <c r="A1938" s="7" t="s">
        <v>8</v>
      </c>
      <c r="B1938" s="9">
        <v>45870</v>
      </c>
      <c r="C1938" s="19"/>
    </row>
    <row r="1939" spans="1:3" x14ac:dyDescent="0.25">
      <c r="A1939" s="7" t="s">
        <v>7</v>
      </c>
      <c r="B1939" s="8">
        <f>VLOOKUP(D1931,'[1] Wages Sheet FORM XVII'!A$11:U2014,11,0)</f>
        <v>24</v>
      </c>
      <c r="C1939" s="19"/>
    </row>
    <row r="1940" spans="1:3" x14ac:dyDescent="0.25">
      <c r="A1940" s="7" t="s">
        <v>6</v>
      </c>
      <c r="B1940" s="7">
        <v>0</v>
      </c>
      <c r="C1940" s="19"/>
    </row>
    <row r="1941" spans="1:3" x14ac:dyDescent="0.25">
      <c r="A1941" s="7" t="s">
        <v>5</v>
      </c>
      <c r="B1941" s="7">
        <f>VLOOKUP(D1931,'[1] Wages Sheet FORM XVII'!A$11:U2014,12,0)</f>
        <v>480.77</v>
      </c>
      <c r="C1941" s="19"/>
    </row>
    <row r="1942" spans="1:3" x14ac:dyDescent="0.25">
      <c r="A1942" s="7" t="s">
        <v>4</v>
      </c>
      <c r="B1942" s="7" t="e">
        <f>VLOOKUP(D1931,'[1] Wages Sheet FORM XVII'!A$11:U$34,15,0)</f>
        <v>#N/A</v>
      </c>
      <c r="C1942" s="19"/>
    </row>
    <row r="1943" spans="1:3" x14ac:dyDescent="0.25">
      <c r="A1943" s="7" t="s">
        <v>3</v>
      </c>
      <c r="B1943" s="8">
        <f>VLOOKUP(D1931,'[1] Wages Sheet FORM XVII'!A$11:U2014,17,0)</f>
        <v>1385</v>
      </c>
      <c r="C1943" s="19"/>
    </row>
    <row r="1944" spans="1:3" x14ac:dyDescent="0.25">
      <c r="A1944" s="7" t="s">
        <v>2</v>
      </c>
      <c r="B1944" s="8">
        <f>VLOOKUP(D1931,'[1] Wages Sheet FORM XVII'!A$11:U2014,20,0)</f>
        <v>1481</v>
      </c>
      <c r="C1944" s="19"/>
    </row>
    <row r="1945" spans="1:3" x14ac:dyDescent="0.25">
      <c r="A1945" s="7" t="s">
        <v>1</v>
      </c>
      <c r="B1945" s="8">
        <f>VLOOKUP(D1931,'[1] Wages Sheet FORM XVII'!A$11:U2014,21,0)</f>
        <v>11319.48</v>
      </c>
      <c r="C1945" s="19"/>
    </row>
    <row r="1946" spans="1:3" x14ac:dyDescent="0.25">
      <c r="A1946" s="7"/>
      <c r="B1946" s="7"/>
      <c r="C1946" s="19"/>
    </row>
    <row r="1947" spans="1:3" x14ac:dyDescent="0.25">
      <c r="A1947" s="6"/>
      <c r="B1947" s="5" t="s">
        <v>0</v>
      </c>
      <c r="C1947" s="19"/>
    </row>
    <row r="1948" spans="1:3" x14ac:dyDescent="0.25">
      <c r="A1948" s="4"/>
      <c r="B1948" s="3"/>
      <c r="C1948" s="19"/>
    </row>
    <row r="1949" spans="1:3" x14ac:dyDescent="0.25">
      <c r="C1949" s="19"/>
    </row>
    <row r="1953" spans="1:4" ht="13.8" x14ac:dyDescent="0.25">
      <c r="A1953" s="18" t="s">
        <v>15</v>
      </c>
      <c r="B1953" s="17"/>
      <c r="D1953" s="1">
        <f>+D1931+1</f>
        <v>90</v>
      </c>
    </row>
    <row r="1954" spans="1:4" ht="13.8" x14ac:dyDescent="0.25">
      <c r="A1954" s="16" t="s">
        <v>14</v>
      </c>
      <c r="B1954" s="15"/>
    </row>
    <row r="1955" spans="1:4" ht="13.8" x14ac:dyDescent="0.25">
      <c r="A1955" s="14" t="s">
        <v>13</v>
      </c>
      <c r="B1955" s="13"/>
    </row>
    <row r="1956" spans="1:4" x14ac:dyDescent="0.25">
      <c r="A1956" s="6"/>
      <c r="B1956" s="5"/>
    </row>
    <row r="1957" spans="1:4" x14ac:dyDescent="0.25">
      <c r="A1957" s="12" t="s">
        <v>12</v>
      </c>
      <c r="B1957" s="11" t="str">
        <f>+'[1]FORM XIII'!$F$6</f>
        <v>SORYE CONTRUCTION</v>
      </c>
    </row>
    <row r="1958" spans="1:4" x14ac:dyDescent="0.25">
      <c r="A1958" s="7" t="s">
        <v>11</v>
      </c>
      <c r="B1958" s="7" t="str">
        <f>VLOOKUP(D1953,'[1] Wages Sheet FORM XVII'!A$11:U2036,3,0)</f>
        <v>NITU SINGH</v>
      </c>
    </row>
    <row r="1959" spans="1:4" x14ac:dyDescent="0.25">
      <c r="A1959" s="7" t="s">
        <v>10</v>
      </c>
      <c r="B1959" s="10" t="s">
        <v>9</v>
      </c>
    </row>
    <row r="1960" spans="1:4" x14ac:dyDescent="0.25">
      <c r="A1960" s="7" t="s">
        <v>8</v>
      </c>
      <c r="B1960" s="9">
        <v>45870</v>
      </c>
    </row>
    <row r="1961" spans="1:4" x14ac:dyDescent="0.25">
      <c r="A1961" s="7" t="s">
        <v>7</v>
      </c>
      <c r="B1961" s="8">
        <f>VLOOKUP(D1953,'[1] Wages Sheet FORM XVII'!A$11:U2036,11,0)</f>
        <v>18</v>
      </c>
    </row>
    <row r="1962" spans="1:4" x14ac:dyDescent="0.25">
      <c r="A1962" s="7" t="s">
        <v>6</v>
      </c>
      <c r="B1962" s="7">
        <v>0</v>
      </c>
    </row>
    <row r="1963" spans="1:4" x14ac:dyDescent="0.25">
      <c r="A1963" s="7" t="s">
        <v>5</v>
      </c>
      <c r="B1963" s="7">
        <f>VLOOKUP(D1953,'[1] Wages Sheet FORM XVII'!A$11:U2036,12,0)</f>
        <v>480.77</v>
      </c>
    </row>
    <row r="1964" spans="1:4" x14ac:dyDescent="0.25">
      <c r="A1964" s="7" t="s">
        <v>4</v>
      </c>
      <c r="B1964" s="7" t="e">
        <f>VLOOKUP(D1953,'[1] Wages Sheet FORM XVII'!A$11:U$34,15,0)</f>
        <v>#N/A</v>
      </c>
    </row>
    <row r="1965" spans="1:4" x14ac:dyDescent="0.25">
      <c r="A1965" s="7" t="s">
        <v>3</v>
      </c>
      <c r="B1965" s="8">
        <f>VLOOKUP(D1953,'[1] Wages Sheet FORM XVII'!A$11:U2036,17,0)</f>
        <v>1038</v>
      </c>
    </row>
    <row r="1966" spans="1:4" x14ac:dyDescent="0.25">
      <c r="A1966" s="7" t="s">
        <v>2</v>
      </c>
      <c r="B1966" s="8">
        <f>VLOOKUP(D1953,'[1] Wages Sheet FORM XVII'!A$11:U2036,20,0)</f>
        <v>1112</v>
      </c>
    </row>
    <row r="1967" spans="1:4" x14ac:dyDescent="0.25">
      <c r="A1967" s="7" t="s">
        <v>1</v>
      </c>
      <c r="B1967" s="8">
        <f>VLOOKUP(D1953,'[1] Wages Sheet FORM XVII'!A$11:U2036,21,0)</f>
        <v>8803.86</v>
      </c>
    </row>
    <row r="1968" spans="1:4" x14ac:dyDescent="0.25">
      <c r="A1968" s="7"/>
      <c r="B1968" s="7"/>
    </row>
    <row r="1969" spans="1:4" x14ac:dyDescent="0.25">
      <c r="A1969" s="6"/>
      <c r="B1969" s="5" t="s">
        <v>0</v>
      </c>
    </row>
    <row r="1970" spans="1:4" x14ac:dyDescent="0.25">
      <c r="A1970" s="4"/>
      <c r="B1970" s="3"/>
    </row>
    <row r="1975" spans="1:4" ht="13.8" x14ac:dyDescent="0.25">
      <c r="A1975" s="18" t="s">
        <v>15</v>
      </c>
      <c r="B1975" s="17"/>
      <c r="D1975" s="1">
        <f>+D1953+1</f>
        <v>91</v>
      </c>
    </row>
    <row r="1976" spans="1:4" ht="13.8" x14ac:dyDescent="0.25">
      <c r="A1976" s="16" t="s">
        <v>14</v>
      </c>
      <c r="B1976" s="15"/>
    </row>
    <row r="1977" spans="1:4" ht="13.8" x14ac:dyDescent="0.25">
      <c r="A1977" s="14" t="s">
        <v>13</v>
      </c>
      <c r="B1977" s="13"/>
    </row>
    <row r="1978" spans="1:4" x14ac:dyDescent="0.25">
      <c r="A1978" s="6"/>
      <c r="B1978" s="5"/>
    </row>
    <row r="1979" spans="1:4" x14ac:dyDescent="0.25">
      <c r="A1979" s="12" t="s">
        <v>12</v>
      </c>
      <c r="B1979" s="11" t="str">
        <f>+'[1]FORM XIII'!$F$6</f>
        <v>SORYE CONTRUCTION</v>
      </c>
    </row>
    <row r="1980" spans="1:4" x14ac:dyDescent="0.25">
      <c r="A1980" s="7" t="s">
        <v>11</v>
      </c>
      <c r="B1980" s="7" t="str">
        <f>VLOOKUP(D1975,'[1] Wages Sheet FORM XVII'!A$11:U2058,3,0)</f>
        <v>AIJAJ</v>
      </c>
    </row>
    <row r="1981" spans="1:4" x14ac:dyDescent="0.25">
      <c r="A1981" s="7" t="s">
        <v>10</v>
      </c>
      <c r="B1981" s="10" t="s">
        <v>9</v>
      </c>
    </row>
    <row r="1982" spans="1:4" x14ac:dyDescent="0.25">
      <c r="A1982" s="7" t="s">
        <v>8</v>
      </c>
      <c r="B1982" s="9">
        <v>45870</v>
      </c>
    </row>
    <row r="1983" spans="1:4" x14ac:dyDescent="0.25">
      <c r="A1983" s="7" t="s">
        <v>7</v>
      </c>
      <c r="B1983" s="8">
        <f>VLOOKUP(D1975,'[1] Wages Sheet FORM XVII'!A$11:U2058,11,0)</f>
        <v>12</v>
      </c>
    </row>
    <row r="1984" spans="1:4" x14ac:dyDescent="0.25">
      <c r="A1984" s="7" t="s">
        <v>6</v>
      </c>
      <c r="B1984" s="7">
        <v>0</v>
      </c>
    </row>
    <row r="1985" spans="1:4" x14ac:dyDescent="0.25">
      <c r="A1985" s="7" t="s">
        <v>5</v>
      </c>
      <c r="B1985" s="7">
        <f>VLOOKUP(D1975,'[1] Wages Sheet FORM XVII'!A$11:U2058,12,0)</f>
        <v>480.77</v>
      </c>
    </row>
    <row r="1986" spans="1:4" x14ac:dyDescent="0.25">
      <c r="A1986" s="7" t="s">
        <v>4</v>
      </c>
      <c r="B1986" s="7" t="e">
        <f>VLOOKUP(D1975,'[1] Wages Sheet FORM XVII'!A$11:U$34,15,0)</f>
        <v>#N/A</v>
      </c>
    </row>
    <row r="1987" spans="1:4" x14ac:dyDescent="0.25">
      <c r="A1987" s="7" t="s">
        <v>3</v>
      </c>
      <c r="B1987" s="8">
        <f>VLOOKUP(D1975,'[1] Wages Sheet FORM XVII'!A$11:U2058,17,0)</f>
        <v>692</v>
      </c>
    </row>
    <row r="1988" spans="1:4" x14ac:dyDescent="0.25">
      <c r="A1988" s="7" t="s">
        <v>2</v>
      </c>
      <c r="B1988" s="8">
        <f>VLOOKUP(D1975,'[1] Wages Sheet FORM XVII'!A$11:U2058,20,0)</f>
        <v>743</v>
      </c>
    </row>
    <row r="1989" spans="1:4" x14ac:dyDescent="0.25">
      <c r="A1989" s="7" t="s">
        <v>1</v>
      </c>
      <c r="B1989" s="8">
        <f>VLOOKUP(D1975,'[1] Wages Sheet FORM XVII'!A$11:U2058,21,0)</f>
        <v>6108.24</v>
      </c>
    </row>
    <row r="1990" spans="1:4" x14ac:dyDescent="0.25">
      <c r="A1990" s="7"/>
      <c r="B1990" s="7"/>
    </row>
    <row r="1991" spans="1:4" x14ac:dyDescent="0.25">
      <c r="A1991" s="6"/>
      <c r="B1991" s="5" t="s">
        <v>0</v>
      </c>
    </row>
    <row r="1992" spans="1:4" x14ac:dyDescent="0.25">
      <c r="A1992" s="4"/>
      <c r="B1992" s="3"/>
    </row>
    <row r="1997" spans="1:4" ht="13.8" x14ac:dyDescent="0.25">
      <c r="A1997" s="18" t="s">
        <v>15</v>
      </c>
      <c r="B1997" s="17"/>
      <c r="D1997" s="1">
        <f>+D1975+1</f>
        <v>92</v>
      </c>
    </row>
    <row r="1998" spans="1:4" ht="13.8" x14ac:dyDescent="0.25">
      <c r="A1998" s="16" t="s">
        <v>14</v>
      </c>
      <c r="B1998" s="15"/>
    </row>
    <row r="1999" spans="1:4" ht="13.8" x14ac:dyDescent="0.25">
      <c r="A1999" s="14" t="s">
        <v>13</v>
      </c>
      <c r="B1999" s="13"/>
    </row>
    <row r="2000" spans="1:4" x14ac:dyDescent="0.25">
      <c r="A2000" s="6"/>
      <c r="B2000" s="5"/>
    </row>
    <row r="2001" spans="1:2" x14ac:dyDescent="0.25">
      <c r="A2001" s="12" t="s">
        <v>12</v>
      </c>
      <c r="B2001" s="11" t="str">
        <f>+'[1]FORM XIII'!$F$6</f>
        <v>SORYE CONTRUCTION</v>
      </c>
    </row>
    <row r="2002" spans="1:2" x14ac:dyDescent="0.25">
      <c r="A2002" s="7" t="s">
        <v>11</v>
      </c>
      <c r="B2002" s="7" t="str">
        <f>VLOOKUP(D1997,'[1] Wages Sheet FORM XVII'!A$11:U2080,3,0)</f>
        <v>VIKKI</v>
      </c>
    </row>
    <row r="2003" spans="1:2" x14ac:dyDescent="0.25">
      <c r="A2003" s="7" t="s">
        <v>10</v>
      </c>
      <c r="B2003" s="10" t="s">
        <v>9</v>
      </c>
    </row>
    <row r="2004" spans="1:2" x14ac:dyDescent="0.25">
      <c r="A2004" s="7" t="s">
        <v>8</v>
      </c>
      <c r="B2004" s="9">
        <v>45870</v>
      </c>
    </row>
    <row r="2005" spans="1:2" x14ac:dyDescent="0.25">
      <c r="A2005" s="7" t="s">
        <v>7</v>
      </c>
      <c r="B2005" s="8">
        <f>VLOOKUP(D1997,'[1] Wages Sheet FORM XVII'!A$11:U2080,11,0)</f>
        <v>13</v>
      </c>
    </row>
    <row r="2006" spans="1:2" x14ac:dyDescent="0.25">
      <c r="A2006" s="7" t="s">
        <v>6</v>
      </c>
      <c r="B2006" s="7">
        <v>0</v>
      </c>
    </row>
    <row r="2007" spans="1:2" x14ac:dyDescent="0.25">
      <c r="A2007" s="7" t="s">
        <v>5</v>
      </c>
      <c r="B2007" s="7">
        <f>VLOOKUP(D1997,'[1] Wages Sheet FORM XVII'!A$11:U2080,12,0)</f>
        <v>480.77</v>
      </c>
    </row>
    <row r="2008" spans="1:2" x14ac:dyDescent="0.25">
      <c r="A2008" s="7" t="s">
        <v>4</v>
      </c>
      <c r="B2008" s="7" t="e">
        <f>VLOOKUP(D1997,'[1] Wages Sheet FORM XVII'!A$11:U$34,15,0)</f>
        <v>#N/A</v>
      </c>
    </row>
    <row r="2009" spans="1:2" x14ac:dyDescent="0.25">
      <c r="A2009" s="7" t="s">
        <v>3</v>
      </c>
      <c r="B2009" s="8">
        <f>VLOOKUP(D1997,'[1] Wages Sheet FORM XVII'!A$11:U2080,17,0)</f>
        <v>750</v>
      </c>
    </row>
    <row r="2010" spans="1:2" x14ac:dyDescent="0.25">
      <c r="A2010" s="7" t="s">
        <v>2</v>
      </c>
      <c r="B2010" s="8">
        <f>VLOOKUP(D1997,'[1] Wages Sheet FORM XVII'!A$11:U2080,20,0)</f>
        <v>857</v>
      </c>
    </row>
    <row r="2011" spans="1:2" x14ac:dyDescent="0.25">
      <c r="A2011" s="7" t="s">
        <v>1</v>
      </c>
      <c r="B2011" s="8">
        <f>VLOOKUP(D1997,'[1] Wages Sheet FORM XVII'!A$11:U2080,21,0)</f>
        <v>6715.01</v>
      </c>
    </row>
    <row r="2012" spans="1:2" x14ac:dyDescent="0.25">
      <c r="A2012" s="7"/>
      <c r="B2012" s="7"/>
    </row>
    <row r="2013" spans="1:2" x14ac:dyDescent="0.25">
      <c r="A2013" s="6"/>
      <c r="B2013" s="5" t="s">
        <v>0</v>
      </c>
    </row>
    <row r="2014" spans="1:2" x14ac:dyDescent="0.25">
      <c r="A2014" s="4"/>
      <c r="B2014" s="3"/>
    </row>
    <row r="2019" spans="1:4" ht="13.8" x14ac:dyDescent="0.25">
      <c r="A2019" s="18" t="s">
        <v>15</v>
      </c>
      <c r="B2019" s="17"/>
      <c r="C2019" s="19"/>
      <c r="D2019" s="1">
        <f>+D1997+1</f>
        <v>93</v>
      </c>
    </row>
    <row r="2020" spans="1:4" ht="13.8" x14ac:dyDescent="0.25">
      <c r="A2020" s="16" t="s">
        <v>14</v>
      </c>
      <c r="B2020" s="15"/>
      <c r="C2020" s="19"/>
    </row>
    <row r="2021" spans="1:4" ht="13.8" x14ac:dyDescent="0.25">
      <c r="A2021" s="14" t="s">
        <v>13</v>
      </c>
      <c r="B2021" s="13"/>
      <c r="C2021" s="19"/>
    </row>
    <row r="2022" spans="1:4" x14ac:dyDescent="0.25">
      <c r="A2022" s="6"/>
      <c r="B2022" s="5"/>
      <c r="C2022" s="19"/>
    </row>
    <row r="2023" spans="1:4" x14ac:dyDescent="0.25">
      <c r="A2023" s="12" t="s">
        <v>12</v>
      </c>
      <c r="B2023" s="11" t="str">
        <f>+'[1]FORM XIII'!$F$6</f>
        <v>SORYE CONTRUCTION</v>
      </c>
      <c r="C2023" s="19"/>
    </row>
    <row r="2024" spans="1:4" x14ac:dyDescent="0.25">
      <c r="A2024" s="7" t="s">
        <v>11</v>
      </c>
      <c r="B2024" s="7" t="str">
        <f>VLOOKUP(D2019,'[1] Wages Sheet FORM XVII'!A$11:U2102,3,0)</f>
        <v>SHOYAB ALI</v>
      </c>
      <c r="C2024" s="19"/>
    </row>
    <row r="2025" spans="1:4" x14ac:dyDescent="0.25">
      <c r="A2025" s="7" t="s">
        <v>10</v>
      </c>
      <c r="B2025" s="10" t="s">
        <v>9</v>
      </c>
      <c r="C2025" s="19"/>
    </row>
    <row r="2026" spans="1:4" x14ac:dyDescent="0.25">
      <c r="A2026" s="7" t="s">
        <v>8</v>
      </c>
      <c r="B2026" s="9">
        <v>45870</v>
      </c>
      <c r="C2026" s="19"/>
    </row>
    <row r="2027" spans="1:4" x14ac:dyDescent="0.25">
      <c r="A2027" s="7" t="s">
        <v>7</v>
      </c>
      <c r="B2027" s="8">
        <f>VLOOKUP(D2019,'[1] Wages Sheet FORM XVII'!A$11:U2102,11,0)</f>
        <v>1</v>
      </c>
      <c r="C2027" s="19"/>
    </row>
    <row r="2028" spans="1:4" x14ac:dyDescent="0.25">
      <c r="A2028" s="7" t="s">
        <v>6</v>
      </c>
      <c r="B2028" s="7">
        <v>0</v>
      </c>
      <c r="C2028" s="19"/>
    </row>
    <row r="2029" spans="1:4" x14ac:dyDescent="0.25">
      <c r="A2029" s="7" t="s">
        <v>5</v>
      </c>
      <c r="B2029" s="7">
        <f>VLOOKUP(D2019,'[1] Wages Sheet FORM XVII'!A$11:U2102,12,0)</f>
        <v>480.77</v>
      </c>
      <c r="C2029" s="19"/>
    </row>
    <row r="2030" spans="1:4" x14ac:dyDescent="0.25">
      <c r="A2030" s="7" t="s">
        <v>4</v>
      </c>
      <c r="B2030" s="7" t="e">
        <f>VLOOKUP(D2019,'[1] Wages Sheet FORM XVII'!A$11:U$34,15,0)</f>
        <v>#N/A</v>
      </c>
      <c r="C2030" s="19"/>
    </row>
    <row r="2031" spans="1:4" x14ac:dyDescent="0.25">
      <c r="A2031" s="7" t="s">
        <v>3</v>
      </c>
      <c r="B2031" s="8">
        <f>VLOOKUP(D2019,'[1] Wages Sheet FORM XVII'!A$11:U2102,17,0)</f>
        <v>58</v>
      </c>
      <c r="C2031" s="19"/>
    </row>
    <row r="2032" spans="1:4" x14ac:dyDescent="0.25">
      <c r="A2032" s="7" t="s">
        <v>2</v>
      </c>
      <c r="B2032" s="8">
        <f>VLOOKUP(D2019,'[1] Wages Sheet FORM XVII'!A$11:U2102,20,0)</f>
        <v>62</v>
      </c>
      <c r="C2032" s="19"/>
    </row>
    <row r="2033" spans="1:4" x14ac:dyDescent="0.25">
      <c r="A2033" s="7" t="s">
        <v>1</v>
      </c>
      <c r="B2033" s="8">
        <f>VLOOKUP(D2019,'[1] Wages Sheet FORM XVII'!A$11:U2102,21,0)</f>
        <v>418.77</v>
      </c>
      <c r="C2033" s="19"/>
    </row>
    <row r="2034" spans="1:4" x14ac:dyDescent="0.25">
      <c r="A2034" s="7"/>
      <c r="B2034" s="7"/>
      <c r="C2034" s="19"/>
    </row>
    <row r="2035" spans="1:4" x14ac:dyDescent="0.25">
      <c r="A2035" s="6"/>
      <c r="B2035" s="5" t="s">
        <v>0</v>
      </c>
      <c r="C2035" s="19"/>
    </row>
    <row r="2036" spans="1:4" x14ac:dyDescent="0.25">
      <c r="A2036" s="4"/>
      <c r="B2036" s="3"/>
      <c r="C2036" s="19"/>
    </row>
    <row r="2037" spans="1:4" x14ac:dyDescent="0.25">
      <c r="C2037" s="19"/>
    </row>
    <row r="2041" spans="1:4" ht="13.8" x14ac:dyDescent="0.25">
      <c r="A2041" s="18" t="s">
        <v>15</v>
      </c>
      <c r="B2041" s="17"/>
      <c r="D2041" s="1">
        <f>+D2019+1</f>
        <v>94</v>
      </c>
    </row>
    <row r="2042" spans="1:4" ht="13.8" x14ac:dyDescent="0.25">
      <c r="A2042" s="16" t="s">
        <v>14</v>
      </c>
      <c r="B2042" s="15"/>
    </row>
    <row r="2043" spans="1:4" ht="13.8" x14ac:dyDescent="0.25">
      <c r="A2043" s="14" t="s">
        <v>13</v>
      </c>
      <c r="B2043" s="13"/>
    </row>
    <row r="2044" spans="1:4" x14ac:dyDescent="0.25">
      <c r="A2044" s="6"/>
      <c r="B2044" s="5"/>
    </row>
    <row r="2045" spans="1:4" x14ac:dyDescent="0.25">
      <c r="A2045" s="12" t="s">
        <v>12</v>
      </c>
      <c r="B2045" s="11" t="str">
        <f>+'[1]FORM XIII'!$F$6</f>
        <v>SORYE CONTRUCTION</v>
      </c>
    </row>
    <row r="2046" spans="1:4" x14ac:dyDescent="0.25">
      <c r="A2046" s="7" t="s">
        <v>11</v>
      </c>
      <c r="B2046" s="7" t="e">
        <f>VLOOKUP(D2041,'[1] Wages Sheet FORM XVII'!A$11:U2124,3,0)</f>
        <v>#N/A</v>
      </c>
    </row>
    <row r="2047" spans="1:4" x14ac:dyDescent="0.25">
      <c r="A2047" s="7" t="s">
        <v>10</v>
      </c>
      <c r="B2047" s="10" t="s">
        <v>9</v>
      </c>
    </row>
    <row r="2048" spans="1:4" x14ac:dyDescent="0.25">
      <c r="A2048" s="7" t="s">
        <v>8</v>
      </c>
      <c r="B2048" s="9">
        <v>45870</v>
      </c>
    </row>
    <row r="2049" spans="1:4" x14ac:dyDescent="0.25">
      <c r="A2049" s="7" t="s">
        <v>7</v>
      </c>
      <c r="B2049" s="8" t="e">
        <f>VLOOKUP(D2041,'[1] Wages Sheet FORM XVII'!A$11:U2124,11,0)</f>
        <v>#N/A</v>
      </c>
    </row>
    <row r="2050" spans="1:4" x14ac:dyDescent="0.25">
      <c r="A2050" s="7" t="s">
        <v>6</v>
      </c>
      <c r="B2050" s="7">
        <v>0</v>
      </c>
    </row>
    <row r="2051" spans="1:4" x14ac:dyDescent="0.25">
      <c r="A2051" s="7" t="s">
        <v>5</v>
      </c>
      <c r="B2051" s="7" t="e">
        <f>VLOOKUP(D2041,'[1] Wages Sheet FORM XVII'!A$11:U2124,12,0)</f>
        <v>#N/A</v>
      </c>
    </row>
    <row r="2052" spans="1:4" x14ac:dyDescent="0.25">
      <c r="A2052" s="7" t="s">
        <v>4</v>
      </c>
      <c r="B2052" s="7" t="e">
        <f>VLOOKUP(D2041,'[1] Wages Sheet FORM XVII'!A$11:U$34,15,0)</f>
        <v>#N/A</v>
      </c>
    </row>
    <row r="2053" spans="1:4" x14ac:dyDescent="0.25">
      <c r="A2053" s="7" t="s">
        <v>3</v>
      </c>
      <c r="B2053" s="8" t="e">
        <f>VLOOKUP(D2041,'[1] Wages Sheet FORM XVII'!A$11:U2124,17,0)</f>
        <v>#N/A</v>
      </c>
    </row>
    <row r="2054" spans="1:4" x14ac:dyDescent="0.25">
      <c r="A2054" s="7" t="s">
        <v>2</v>
      </c>
      <c r="B2054" s="8" t="e">
        <f>VLOOKUP(D2041,'[1] Wages Sheet FORM XVII'!A$11:U2124,20,0)</f>
        <v>#N/A</v>
      </c>
    </row>
    <row r="2055" spans="1:4" x14ac:dyDescent="0.25">
      <c r="A2055" s="7" t="s">
        <v>1</v>
      </c>
      <c r="B2055" s="8" t="e">
        <f>VLOOKUP(D2041,'[1] Wages Sheet FORM XVII'!A$11:U2124,21,0)</f>
        <v>#N/A</v>
      </c>
    </row>
    <row r="2056" spans="1:4" x14ac:dyDescent="0.25">
      <c r="A2056" s="7"/>
      <c r="B2056" s="7"/>
    </row>
    <row r="2057" spans="1:4" x14ac:dyDescent="0.25">
      <c r="A2057" s="6"/>
      <c r="B2057" s="5" t="s">
        <v>0</v>
      </c>
    </row>
    <row r="2058" spans="1:4" x14ac:dyDescent="0.25">
      <c r="A2058" s="4"/>
      <c r="B2058" s="3"/>
    </row>
    <row r="2063" spans="1:4" ht="13.8" x14ac:dyDescent="0.25">
      <c r="A2063" s="18" t="s">
        <v>15</v>
      </c>
      <c r="B2063" s="17"/>
      <c r="D2063" s="1">
        <f>+D2041+1</f>
        <v>95</v>
      </c>
    </row>
    <row r="2064" spans="1:4" ht="13.8" x14ac:dyDescent="0.25">
      <c r="A2064" s="16" t="s">
        <v>14</v>
      </c>
      <c r="B2064" s="15"/>
    </row>
    <row r="2065" spans="1:2" ht="13.8" x14ac:dyDescent="0.25">
      <c r="A2065" s="14" t="s">
        <v>13</v>
      </c>
      <c r="B2065" s="13"/>
    </row>
    <row r="2066" spans="1:2" x14ac:dyDescent="0.25">
      <c r="A2066" s="6"/>
      <c r="B2066" s="5"/>
    </row>
    <row r="2067" spans="1:2" x14ac:dyDescent="0.25">
      <c r="A2067" s="12" t="s">
        <v>12</v>
      </c>
      <c r="B2067" s="11" t="str">
        <f>+'[1]FORM XIII'!$F$6</f>
        <v>SORYE CONTRUCTION</v>
      </c>
    </row>
    <row r="2068" spans="1:2" x14ac:dyDescent="0.25">
      <c r="A2068" s="7" t="s">
        <v>11</v>
      </c>
      <c r="B2068" s="7" t="e">
        <f>VLOOKUP(D2063,'[1] Wages Sheet FORM XVII'!A$11:U2146,3,0)</f>
        <v>#N/A</v>
      </c>
    </row>
    <row r="2069" spans="1:2" x14ac:dyDescent="0.25">
      <c r="A2069" s="7" t="s">
        <v>10</v>
      </c>
      <c r="B2069" s="10" t="s">
        <v>9</v>
      </c>
    </row>
    <row r="2070" spans="1:2" x14ac:dyDescent="0.25">
      <c r="A2070" s="7" t="s">
        <v>8</v>
      </c>
      <c r="B2070" s="9">
        <v>45870</v>
      </c>
    </row>
    <row r="2071" spans="1:2" x14ac:dyDescent="0.25">
      <c r="A2071" s="7" t="s">
        <v>7</v>
      </c>
      <c r="B2071" s="8" t="e">
        <f>VLOOKUP(D2063,'[1] Wages Sheet FORM XVII'!A$11:U2146,11,0)</f>
        <v>#N/A</v>
      </c>
    </row>
    <row r="2072" spans="1:2" x14ac:dyDescent="0.25">
      <c r="A2072" s="7" t="s">
        <v>6</v>
      </c>
      <c r="B2072" s="7">
        <v>0</v>
      </c>
    </row>
    <row r="2073" spans="1:2" x14ac:dyDescent="0.25">
      <c r="A2073" s="7" t="s">
        <v>5</v>
      </c>
      <c r="B2073" s="7" t="e">
        <f>VLOOKUP(D2063,'[1] Wages Sheet FORM XVII'!A$11:U2146,12,0)</f>
        <v>#N/A</v>
      </c>
    </row>
    <row r="2074" spans="1:2" x14ac:dyDescent="0.25">
      <c r="A2074" s="7" t="s">
        <v>4</v>
      </c>
      <c r="B2074" s="7" t="e">
        <f>VLOOKUP(D2063,'[1] Wages Sheet FORM XVII'!A$11:U$34,15,0)</f>
        <v>#N/A</v>
      </c>
    </row>
    <row r="2075" spans="1:2" x14ac:dyDescent="0.25">
      <c r="A2075" s="7" t="s">
        <v>3</v>
      </c>
      <c r="B2075" s="8" t="e">
        <f>VLOOKUP(D2063,'[1] Wages Sheet FORM XVII'!A$11:U2146,17,0)</f>
        <v>#N/A</v>
      </c>
    </row>
    <row r="2076" spans="1:2" x14ac:dyDescent="0.25">
      <c r="A2076" s="7" t="s">
        <v>2</v>
      </c>
      <c r="B2076" s="8" t="e">
        <f>VLOOKUP(D2063,'[1] Wages Sheet FORM XVII'!A$11:U2146,20,0)</f>
        <v>#N/A</v>
      </c>
    </row>
    <row r="2077" spans="1:2" x14ac:dyDescent="0.25">
      <c r="A2077" s="7" t="s">
        <v>1</v>
      </c>
      <c r="B2077" s="8" t="e">
        <f>VLOOKUP(D2063,'[1] Wages Sheet FORM XVII'!A$11:U2146,21,0)</f>
        <v>#N/A</v>
      </c>
    </row>
    <row r="2078" spans="1:2" x14ac:dyDescent="0.25">
      <c r="A2078" s="7"/>
      <c r="B2078" s="7"/>
    </row>
    <row r="2079" spans="1:2" x14ac:dyDescent="0.25">
      <c r="A2079" s="6"/>
      <c r="B2079" s="5" t="s">
        <v>0</v>
      </c>
    </row>
    <row r="2080" spans="1:2" x14ac:dyDescent="0.25">
      <c r="A2080" s="4"/>
      <c r="B2080" s="3"/>
    </row>
    <row r="2085" spans="1:4" ht="13.8" x14ac:dyDescent="0.25">
      <c r="A2085" s="18" t="s">
        <v>15</v>
      </c>
      <c r="B2085" s="17"/>
      <c r="D2085" s="1">
        <f>+D2063+1</f>
        <v>96</v>
      </c>
    </row>
    <row r="2086" spans="1:4" ht="13.8" x14ac:dyDescent="0.25">
      <c r="A2086" s="16" t="s">
        <v>14</v>
      </c>
      <c r="B2086" s="15"/>
    </row>
    <row r="2087" spans="1:4" ht="13.8" x14ac:dyDescent="0.25">
      <c r="A2087" s="14" t="s">
        <v>13</v>
      </c>
      <c r="B2087" s="13"/>
    </row>
    <row r="2088" spans="1:4" x14ac:dyDescent="0.25">
      <c r="A2088" s="6"/>
      <c r="B2088" s="5"/>
    </row>
    <row r="2089" spans="1:4" x14ac:dyDescent="0.25">
      <c r="A2089" s="12" t="s">
        <v>12</v>
      </c>
      <c r="B2089" s="11" t="str">
        <f>+'[1]FORM XIII'!$F$6</f>
        <v>SORYE CONTRUCTION</v>
      </c>
    </row>
    <row r="2090" spans="1:4" x14ac:dyDescent="0.25">
      <c r="A2090" s="7" t="s">
        <v>11</v>
      </c>
      <c r="B2090" s="7" t="e">
        <f>VLOOKUP(D2085,'[1] Wages Sheet FORM XVII'!A$11:U2168,3,0)</f>
        <v>#N/A</v>
      </c>
    </row>
    <row r="2091" spans="1:4" x14ac:dyDescent="0.25">
      <c r="A2091" s="7" t="s">
        <v>10</v>
      </c>
      <c r="B2091" s="10" t="s">
        <v>9</v>
      </c>
    </row>
    <row r="2092" spans="1:4" x14ac:dyDescent="0.25">
      <c r="A2092" s="7" t="s">
        <v>8</v>
      </c>
      <c r="B2092" s="9">
        <v>45870</v>
      </c>
    </row>
    <row r="2093" spans="1:4" x14ac:dyDescent="0.25">
      <c r="A2093" s="7" t="s">
        <v>7</v>
      </c>
      <c r="B2093" s="8" t="e">
        <f>VLOOKUP(D2085,'[1] Wages Sheet FORM XVII'!A$11:U2168,11,0)</f>
        <v>#N/A</v>
      </c>
    </row>
    <row r="2094" spans="1:4" x14ac:dyDescent="0.25">
      <c r="A2094" s="7" t="s">
        <v>6</v>
      </c>
      <c r="B2094" s="7">
        <v>0</v>
      </c>
    </row>
    <row r="2095" spans="1:4" x14ac:dyDescent="0.25">
      <c r="A2095" s="7" t="s">
        <v>5</v>
      </c>
      <c r="B2095" s="7" t="e">
        <f>VLOOKUP(D2085,'[1] Wages Sheet FORM XVII'!A$11:U2168,12,0)</f>
        <v>#N/A</v>
      </c>
    </row>
    <row r="2096" spans="1:4" x14ac:dyDescent="0.25">
      <c r="A2096" s="7" t="s">
        <v>4</v>
      </c>
      <c r="B2096" s="7" t="e">
        <f>VLOOKUP(D2085,'[1] Wages Sheet FORM XVII'!A$11:U$34,15,0)</f>
        <v>#N/A</v>
      </c>
    </row>
    <row r="2097" spans="1:4" x14ac:dyDescent="0.25">
      <c r="A2097" s="7" t="s">
        <v>3</v>
      </c>
      <c r="B2097" s="8" t="e">
        <f>VLOOKUP(D2085,'[1] Wages Sheet FORM XVII'!A$11:U2168,17,0)</f>
        <v>#N/A</v>
      </c>
    </row>
    <row r="2098" spans="1:4" x14ac:dyDescent="0.25">
      <c r="A2098" s="7" t="s">
        <v>2</v>
      </c>
      <c r="B2098" s="8" t="e">
        <f>VLOOKUP(D2085,'[1] Wages Sheet FORM XVII'!A$11:U2168,20,0)</f>
        <v>#N/A</v>
      </c>
    </row>
    <row r="2099" spans="1:4" x14ac:dyDescent="0.25">
      <c r="A2099" s="7" t="s">
        <v>1</v>
      </c>
      <c r="B2099" s="8" t="e">
        <f>VLOOKUP(D2085,'[1] Wages Sheet FORM XVII'!A$11:U2168,21,0)</f>
        <v>#N/A</v>
      </c>
    </row>
    <row r="2100" spans="1:4" x14ac:dyDescent="0.25">
      <c r="A2100" s="7"/>
      <c r="B2100" s="7"/>
    </row>
    <row r="2101" spans="1:4" x14ac:dyDescent="0.25">
      <c r="A2101" s="6"/>
      <c r="B2101" s="5" t="s">
        <v>0</v>
      </c>
    </row>
    <row r="2102" spans="1:4" x14ac:dyDescent="0.25">
      <c r="A2102" s="4"/>
      <c r="B2102" s="3"/>
    </row>
    <row r="2107" spans="1:4" ht="13.8" x14ac:dyDescent="0.25">
      <c r="A2107" s="18" t="s">
        <v>15</v>
      </c>
      <c r="B2107" s="17"/>
      <c r="C2107" s="19"/>
      <c r="D2107" s="1">
        <f>+D2085+1</f>
        <v>97</v>
      </c>
    </row>
    <row r="2108" spans="1:4" ht="13.8" x14ac:dyDescent="0.25">
      <c r="A2108" s="16" t="s">
        <v>14</v>
      </c>
      <c r="B2108" s="15"/>
      <c r="C2108" s="19"/>
    </row>
    <row r="2109" spans="1:4" ht="13.8" x14ac:dyDescent="0.25">
      <c r="A2109" s="14" t="s">
        <v>13</v>
      </c>
      <c r="B2109" s="13"/>
      <c r="C2109" s="19"/>
    </row>
    <row r="2110" spans="1:4" x14ac:dyDescent="0.25">
      <c r="A2110" s="6"/>
      <c r="B2110" s="5"/>
      <c r="C2110" s="19"/>
    </row>
    <row r="2111" spans="1:4" x14ac:dyDescent="0.25">
      <c r="A2111" s="12" t="s">
        <v>12</v>
      </c>
      <c r="B2111" s="11" t="str">
        <f>+'[1]FORM XIII'!$F$6</f>
        <v>SORYE CONTRUCTION</v>
      </c>
      <c r="C2111" s="19"/>
    </row>
    <row r="2112" spans="1:4" x14ac:dyDescent="0.25">
      <c r="A2112" s="7" t="s">
        <v>11</v>
      </c>
      <c r="B2112" s="7" t="e">
        <f>VLOOKUP(D2107,'[1] Wages Sheet FORM XVII'!A$11:U2190,3,0)</f>
        <v>#N/A</v>
      </c>
      <c r="C2112" s="19"/>
    </row>
    <row r="2113" spans="1:3" x14ac:dyDescent="0.25">
      <c r="A2113" s="7" t="s">
        <v>10</v>
      </c>
      <c r="B2113" s="10" t="s">
        <v>9</v>
      </c>
      <c r="C2113" s="19"/>
    </row>
    <row r="2114" spans="1:3" x14ac:dyDescent="0.25">
      <c r="A2114" s="7" t="s">
        <v>8</v>
      </c>
      <c r="B2114" s="9">
        <v>45870</v>
      </c>
      <c r="C2114" s="19"/>
    </row>
    <row r="2115" spans="1:3" x14ac:dyDescent="0.25">
      <c r="A2115" s="7" t="s">
        <v>7</v>
      </c>
      <c r="B2115" s="8" t="e">
        <f>VLOOKUP(D2107,'[1] Wages Sheet FORM XVII'!A$11:U2190,11,0)</f>
        <v>#N/A</v>
      </c>
      <c r="C2115" s="19"/>
    </row>
    <row r="2116" spans="1:3" x14ac:dyDescent="0.25">
      <c r="A2116" s="7" t="s">
        <v>6</v>
      </c>
      <c r="B2116" s="7">
        <v>0</v>
      </c>
      <c r="C2116" s="19"/>
    </row>
    <row r="2117" spans="1:3" x14ac:dyDescent="0.25">
      <c r="A2117" s="7" t="s">
        <v>5</v>
      </c>
      <c r="B2117" s="7" t="e">
        <f>VLOOKUP(D2107,'[1] Wages Sheet FORM XVII'!A$11:U2190,12,0)</f>
        <v>#N/A</v>
      </c>
      <c r="C2117" s="19"/>
    </row>
    <row r="2118" spans="1:3" x14ac:dyDescent="0.25">
      <c r="A2118" s="7" t="s">
        <v>4</v>
      </c>
      <c r="B2118" s="7" t="e">
        <f>VLOOKUP(D2107,'[1] Wages Sheet FORM XVII'!A$11:U$34,15,0)</f>
        <v>#N/A</v>
      </c>
      <c r="C2118" s="19"/>
    </row>
    <row r="2119" spans="1:3" x14ac:dyDescent="0.25">
      <c r="A2119" s="7" t="s">
        <v>3</v>
      </c>
      <c r="B2119" s="8" t="e">
        <f>VLOOKUP(D2107,'[1] Wages Sheet FORM XVII'!A$11:U2190,17,0)</f>
        <v>#N/A</v>
      </c>
      <c r="C2119" s="19"/>
    </row>
    <row r="2120" spans="1:3" x14ac:dyDescent="0.25">
      <c r="A2120" s="7" t="s">
        <v>2</v>
      </c>
      <c r="B2120" s="8" t="e">
        <f>VLOOKUP(D2107,'[1] Wages Sheet FORM XVII'!A$11:U2190,20,0)</f>
        <v>#N/A</v>
      </c>
      <c r="C2120" s="19"/>
    </row>
    <row r="2121" spans="1:3" x14ac:dyDescent="0.25">
      <c r="A2121" s="7" t="s">
        <v>1</v>
      </c>
      <c r="B2121" s="8" t="e">
        <f>VLOOKUP(D2107,'[1] Wages Sheet FORM XVII'!A$11:U2190,21,0)</f>
        <v>#N/A</v>
      </c>
      <c r="C2121" s="19"/>
    </row>
    <row r="2122" spans="1:3" x14ac:dyDescent="0.25">
      <c r="A2122" s="7"/>
      <c r="B2122" s="7"/>
      <c r="C2122" s="19"/>
    </row>
    <row r="2123" spans="1:3" x14ac:dyDescent="0.25">
      <c r="A2123" s="6"/>
      <c r="B2123" s="5" t="s">
        <v>0</v>
      </c>
      <c r="C2123" s="19"/>
    </row>
    <row r="2124" spans="1:3" x14ac:dyDescent="0.25">
      <c r="A2124" s="4"/>
      <c r="B2124" s="3"/>
      <c r="C2124" s="19"/>
    </row>
    <row r="2125" spans="1:3" x14ac:dyDescent="0.25">
      <c r="C2125" s="19"/>
    </row>
    <row r="2129" spans="1:4" ht="13.8" x14ac:dyDescent="0.25">
      <c r="A2129" s="18" t="s">
        <v>15</v>
      </c>
      <c r="B2129" s="17"/>
      <c r="D2129" s="1">
        <f>+D2107+1</f>
        <v>98</v>
      </c>
    </row>
    <row r="2130" spans="1:4" ht="13.8" x14ac:dyDescent="0.25">
      <c r="A2130" s="16" t="s">
        <v>14</v>
      </c>
      <c r="B2130" s="15"/>
    </row>
    <row r="2131" spans="1:4" ht="13.8" x14ac:dyDescent="0.25">
      <c r="A2131" s="14" t="s">
        <v>13</v>
      </c>
      <c r="B2131" s="13"/>
    </row>
    <row r="2132" spans="1:4" x14ac:dyDescent="0.25">
      <c r="A2132" s="6"/>
      <c r="B2132" s="5"/>
    </row>
    <row r="2133" spans="1:4" x14ac:dyDescent="0.25">
      <c r="A2133" s="12" t="s">
        <v>12</v>
      </c>
      <c r="B2133" s="11" t="str">
        <f>+'[1]FORM XIII'!$F$6</f>
        <v>SORYE CONTRUCTION</v>
      </c>
    </row>
    <row r="2134" spans="1:4" x14ac:dyDescent="0.25">
      <c r="A2134" s="7" t="s">
        <v>11</v>
      </c>
      <c r="B2134" s="7" t="e">
        <f>VLOOKUP(D2129,'[1] Wages Sheet FORM XVII'!A$11:U2212,3,0)</f>
        <v>#N/A</v>
      </c>
    </row>
    <row r="2135" spans="1:4" x14ac:dyDescent="0.25">
      <c r="A2135" s="7" t="s">
        <v>10</v>
      </c>
      <c r="B2135" s="10" t="s">
        <v>9</v>
      </c>
    </row>
    <row r="2136" spans="1:4" x14ac:dyDescent="0.25">
      <c r="A2136" s="7" t="s">
        <v>8</v>
      </c>
      <c r="B2136" s="9">
        <v>45870</v>
      </c>
    </row>
    <row r="2137" spans="1:4" x14ac:dyDescent="0.25">
      <c r="A2137" s="7" t="s">
        <v>7</v>
      </c>
      <c r="B2137" s="8" t="e">
        <f>VLOOKUP(D2129,'[1] Wages Sheet FORM XVII'!A$11:U2212,11,0)</f>
        <v>#N/A</v>
      </c>
    </row>
    <row r="2138" spans="1:4" x14ac:dyDescent="0.25">
      <c r="A2138" s="7" t="s">
        <v>6</v>
      </c>
      <c r="B2138" s="7">
        <v>0</v>
      </c>
    </row>
    <row r="2139" spans="1:4" x14ac:dyDescent="0.25">
      <c r="A2139" s="7" t="s">
        <v>5</v>
      </c>
      <c r="B2139" s="7" t="e">
        <f>VLOOKUP(D2129,'[1] Wages Sheet FORM XVII'!A$11:U2212,12,0)</f>
        <v>#N/A</v>
      </c>
    </row>
    <row r="2140" spans="1:4" x14ac:dyDescent="0.25">
      <c r="A2140" s="7" t="s">
        <v>4</v>
      </c>
      <c r="B2140" s="7" t="e">
        <f>VLOOKUP(D2129,'[1] Wages Sheet FORM XVII'!A$11:U$34,15,0)</f>
        <v>#N/A</v>
      </c>
    </row>
    <row r="2141" spans="1:4" x14ac:dyDescent="0.25">
      <c r="A2141" s="7" t="s">
        <v>3</v>
      </c>
      <c r="B2141" s="8" t="e">
        <f>VLOOKUP(D2129,'[1] Wages Sheet FORM XVII'!A$11:U2212,17,0)</f>
        <v>#N/A</v>
      </c>
    </row>
    <row r="2142" spans="1:4" x14ac:dyDescent="0.25">
      <c r="A2142" s="7" t="s">
        <v>2</v>
      </c>
      <c r="B2142" s="8" t="e">
        <f>VLOOKUP(D2129,'[1] Wages Sheet FORM XVII'!A$11:U2212,20,0)</f>
        <v>#N/A</v>
      </c>
    </row>
    <row r="2143" spans="1:4" x14ac:dyDescent="0.25">
      <c r="A2143" s="7" t="s">
        <v>1</v>
      </c>
      <c r="B2143" s="8" t="e">
        <f>VLOOKUP(D2129,'[1] Wages Sheet FORM XVII'!A$11:U2212,21,0)</f>
        <v>#N/A</v>
      </c>
    </row>
    <row r="2144" spans="1:4" x14ac:dyDescent="0.25">
      <c r="A2144" s="7"/>
      <c r="B2144" s="7"/>
    </row>
    <row r="2145" spans="1:4" x14ac:dyDescent="0.25">
      <c r="A2145" s="6"/>
      <c r="B2145" s="5" t="s">
        <v>0</v>
      </c>
    </row>
    <row r="2146" spans="1:4" x14ac:dyDescent="0.25">
      <c r="A2146" s="4"/>
      <c r="B2146" s="3"/>
    </row>
    <row r="2151" spans="1:4" ht="13.8" x14ac:dyDescent="0.25">
      <c r="A2151" s="18" t="s">
        <v>15</v>
      </c>
      <c r="B2151" s="17"/>
      <c r="D2151" s="1">
        <f>+D2129+1</f>
        <v>99</v>
      </c>
    </row>
    <row r="2152" spans="1:4" ht="13.8" x14ac:dyDescent="0.25">
      <c r="A2152" s="16" t="s">
        <v>14</v>
      </c>
      <c r="B2152" s="15"/>
    </row>
    <row r="2153" spans="1:4" ht="13.8" x14ac:dyDescent="0.25">
      <c r="A2153" s="14" t="s">
        <v>13</v>
      </c>
      <c r="B2153" s="13"/>
    </row>
    <row r="2154" spans="1:4" x14ac:dyDescent="0.25">
      <c r="A2154" s="6"/>
      <c r="B2154" s="5"/>
    </row>
    <row r="2155" spans="1:4" x14ac:dyDescent="0.25">
      <c r="A2155" s="12" t="s">
        <v>12</v>
      </c>
      <c r="B2155" s="11" t="str">
        <f>+'[1]FORM XIII'!$F$6</f>
        <v>SORYE CONTRUCTION</v>
      </c>
    </row>
    <row r="2156" spans="1:4" x14ac:dyDescent="0.25">
      <c r="A2156" s="7" t="s">
        <v>11</v>
      </c>
      <c r="B2156" s="7" t="e">
        <f>VLOOKUP(D2151,'[1] Wages Sheet FORM XVII'!A$11:U2234,3,0)</f>
        <v>#N/A</v>
      </c>
    </row>
    <row r="2157" spans="1:4" x14ac:dyDescent="0.25">
      <c r="A2157" s="7" t="s">
        <v>10</v>
      </c>
      <c r="B2157" s="10" t="s">
        <v>9</v>
      </c>
    </row>
    <row r="2158" spans="1:4" x14ac:dyDescent="0.25">
      <c r="A2158" s="7" t="s">
        <v>8</v>
      </c>
      <c r="B2158" s="9">
        <v>45870</v>
      </c>
    </row>
    <row r="2159" spans="1:4" x14ac:dyDescent="0.25">
      <c r="A2159" s="7" t="s">
        <v>7</v>
      </c>
      <c r="B2159" s="8" t="e">
        <f>VLOOKUP(D2151,'[1] Wages Sheet FORM XVII'!A$11:U2234,11,0)</f>
        <v>#N/A</v>
      </c>
    </row>
    <row r="2160" spans="1:4" x14ac:dyDescent="0.25">
      <c r="A2160" s="7" t="s">
        <v>6</v>
      </c>
      <c r="B2160" s="7">
        <v>0</v>
      </c>
    </row>
    <row r="2161" spans="1:4" x14ac:dyDescent="0.25">
      <c r="A2161" s="7" t="s">
        <v>5</v>
      </c>
      <c r="B2161" s="7" t="e">
        <f>VLOOKUP(D2151,'[1] Wages Sheet FORM XVII'!A$11:U2234,12,0)</f>
        <v>#N/A</v>
      </c>
    </row>
    <row r="2162" spans="1:4" x14ac:dyDescent="0.25">
      <c r="A2162" s="7" t="s">
        <v>4</v>
      </c>
      <c r="B2162" s="7" t="e">
        <f>VLOOKUP(D2151,'[1] Wages Sheet FORM XVII'!A$11:U$34,15,0)</f>
        <v>#N/A</v>
      </c>
    </row>
    <row r="2163" spans="1:4" x14ac:dyDescent="0.25">
      <c r="A2163" s="7" t="s">
        <v>3</v>
      </c>
      <c r="B2163" s="8" t="e">
        <f>VLOOKUP(D2151,'[1] Wages Sheet FORM XVII'!A$11:U2234,17,0)</f>
        <v>#N/A</v>
      </c>
    </row>
    <row r="2164" spans="1:4" x14ac:dyDescent="0.25">
      <c r="A2164" s="7" t="s">
        <v>2</v>
      </c>
      <c r="B2164" s="8" t="e">
        <f>VLOOKUP(D2151,'[1] Wages Sheet FORM XVII'!A$11:U2234,20,0)</f>
        <v>#N/A</v>
      </c>
    </row>
    <row r="2165" spans="1:4" x14ac:dyDescent="0.25">
      <c r="A2165" s="7" t="s">
        <v>1</v>
      </c>
      <c r="B2165" s="8" t="e">
        <f>VLOOKUP(D2151,'[1] Wages Sheet FORM XVII'!A$11:U2234,21,0)</f>
        <v>#N/A</v>
      </c>
    </row>
    <row r="2166" spans="1:4" x14ac:dyDescent="0.25">
      <c r="A2166" s="7"/>
      <c r="B2166" s="7"/>
    </row>
    <row r="2167" spans="1:4" x14ac:dyDescent="0.25">
      <c r="A2167" s="6"/>
      <c r="B2167" s="5" t="s">
        <v>0</v>
      </c>
    </row>
    <row r="2168" spans="1:4" x14ac:dyDescent="0.25">
      <c r="A2168" s="4"/>
      <c r="B2168" s="3"/>
    </row>
    <row r="2173" spans="1:4" ht="13.8" x14ac:dyDescent="0.25">
      <c r="A2173" s="18" t="s">
        <v>15</v>
      </c>
      <c r="B2173" s="17"/>
      <c r="D2173" s="1">
        <f>+D2151+1</f>
        <v>100</v>
      </c>
    </row>
    <row r="2174" spans="1:4" ht="13.8" x14ac:dyDescent="0.25">
      <c r="A2174" s="16" t="s">
        <v>14</v>
      </c>
      <c r="B2174" s="15"/>
    </row>
    <row r="2175" spans="1:4" ht="13.8" x14ac:dyDescent="0.25">
      <c r="A2175" s="14" t="s">
        <v>13</v>
      </c>
      <c r="B2175" s="13"/>
    </row>
    <row r="2176" spans="1:4" x14ac:dyDescent="0.25">
      <c r="A2176" s="6"/>
      <c r="B2176" s="5"/>
    </row>
    <row r="2177" spans="1:2" x14ac:dyDescent="0.25">
      <c r="A2177" s="12" t="s">
        <v>12</v>
      </c>
      <c r="B2177" s="11" t="str">
        <f>+'[1]FORM XIII'!$F$6</f>
        <v>SORYE CONTRUCTION</v>
      </c>
    </row>
    <row r="2178" spans="1:2" x14ac:dyDescent="0.25">
      <c r="A2178" s="7" t="s">
        <v>11</v>
      </c>
      <c r="B2178" s="7" t="e">
        <f>VLOOKUP(D2173,'[1] Wages Sheet FORM XVII'!A$11:U2256,3,0)</f>
        <v>#N/A</v>
      </c>
    </row>
    <row r="2179" spans="1:2" x14ac:dyDescent="0.25">
      <c r="A2179" s="7" t="s">
        <v>10</v>
      </c>
      <c r="B2179" s="10" t="s">
        <v>9</v>
      </c>
    </row>
    <row r="2180" spans="1:2" x14ac:dyDescent="0.25">
      <c r="A2180" s="7" t="s">
        <v>8</v>
      </c>
      <c r="B2180" s="9">
        <v>45870</v>
      </c>
    </row>
    <row r="2181" spans="1:2" x14ac:dyDescent="0.25">
      <c r="A2181" s="7" t="s">
        <v>7</v>
      </c>
      <c r="B2181" s="8" t="e">
        <f>VLOOKUP(D2173,'[1] Wages Sheet FORM XVII'!A$11:U2256,11,0)</f>
        <v>#N/A</v>
      </c>
    </row>
    <row r="2182" spans="1:2" x14ac:dyDescent="0.25">
      <c r="A2182" s="7" t="s">
        <v>6</v>
      </c>
      <c r="B2182" s="7">
        <v>0</v>
      </c>
    </row>
    <row r="2183" spans="1:2" x14ac:dyDescent="0.25">
      <c r="A2183" s="7" t="s">
        <v>5</v>
      </c>
      <c r="B2183" s="7" t="e">
        <f>VLOOKUP(D2173,'[1] Wages Sheet FORM XVII'!A$11:U2256,12,0)</f>
        <v>#N/A</v>
      </c>
    </row>
    <row r="2184" spans="1:2" x14ac:dyDescent="0.25">
      <c r="A2184" s="7" t="s">
        <v>4</v>
      </c>
      <c r="B2184" s="7" t="e">
        <f>VLOOKUP(D2173,'[1] Wages Sheet FORM XVII'!A$11:U$34,15,0)</f>
        <v>#N/A</v>
      </c>
    </row>
    <row r="2185" spans="1:2" x14ac:dyDescent="0.25">
      <c r="A2185" s="7" t="s">
        <v>3</v>
      </c>
      <c r="B2185" s="8" t="e">
        <f>VLOOKUP(D2173,'[1] Wages Sheet FORM XVII'!A$11:U2256,17,0)</f>
        <v>#N/A</v>
      </c>
    </row>
    <row r="2186" spans="1:2" x14ac:dyDescent="0.25">
      <c r="A2186" s="7" t="s">
        <v>2</v>
      </c>
      <c r="B2186" s="8" t="e">
        <f>VLOOKUP(D2173,'[1] Wages Sheet FORM XVII'!A$11:U2256,20,0)</f>
        <v>#N/A</v>
      </c>
    </row>
    <row r="2187" spans="1:2" x14ac:dyDescent="0.25">
      <c r="A2187" s="7" t="s">
        <v>1</v>
      </c>
      <c r="B2187" s="8" t="e">
        <f>VLOOKUP(D2173,'[1] Wages Sheet FORM XVII'!A$11:U2256,21,0)</f>
        <v>#N/A</v>
      </c>
    </row>
    <row r="2188" spans="1:2" x14ac:dyDescent="0.25">
      <c r="A2188" s="7"/>
      <c r="B2188" s="7"/>
    </row>
    <row r="2189" spans="1:2" x14ac:dyDescent="0.25">
      <c r="A2189" s="6"/>
      <c r="B2189" s="5" t="s">
        <v>0</v>
      </c>
    </row>
    <row r="2190" spans="1:2" x14ac:dyDescent="0.25">
      <c r="A2190" s="4"/>
      <c r="B2190" s="3"/>
    </row>
    <row r="2195" spans="1:4" ht="13.8" x14ac:dyDescent="0.25">
      <c r="A2195" s="18" t="s">
        <v>15</v>
      </c>
      <c r="B2195" s="17"/>
      <c r="C2195" s="19"/>
      <c r="D2195" s="1">
        <f>+D2173+1</f>
        <v>101</v>
      </c>
    </row>
    <row r="2196" spans="1:4" ht="13.8" x14ac:dyDescent="0.25">
      <c r="A2196" s="16" t="s">
        <v>14</v>
      </c>
      <c r="B2196" s="15"/>
      <c r="C2196" s="19"/>
    </row>
    <row r="2197" spans="1:4" ht="13.8" x14ac:dyDescent="0.25">
      <c r="A2197" s="14" t="s">
        <v>13</v>
      </c>
      <c r="B2197" s="13"/>
      <c r="C2197" s="19"/>
    </row>
    <row r="2198" spans="1:4" x14ac:dyDescent="0.25">
      <c r="A2198" s="6"/>
      <c r="B2198" s="5"/>
      <c r="C2198" s="19"/>
    </row>
    <row r="2199" spans="1:4" x14ac:dyDescent="0.25">
      <c r="A2199" s="12" t="s">
        <v>12</v>
      </c>
      <c r="B2199" s="11" t="str">
        <f>+'[1]FORM XIII'!$F$6</f>
        <v>SORYE CONTRUCTION</v>
      </c>
      <c r="C2199" s="19"/>
    </row>
    <row r="2200" spans="1:4" x14ac:dyDescent="0.25">
      <c r="A2200" s="7" t="s">
        <v>11</v>
      </c>
      <c r="B2200" s="7" t="e">
        <f>VLOOKUP(D2195,'[1] Wages Sheet FORM XVII'!A$11:U2278,3,0)</f>
        <v>#N/A</v>
      </c>
      <c r="C2200" s="19"/>
    </row>
    <row r="2201" spans="1:4" x14ac:dyDescent="0.25">
      <c r="A2201" s="7" t="s">
        <v>10</v>
      </c>
      <c r="B2201" s="10" t="s">
        <v>9</v>
      </c>
      <c r="C2201" s="19"/>
    </row>
    <row r="2202" spans="1:4" x14ac:dyDescent="0.25">
      <c r="A2202" s="7" t="s">
        <v>8</v>
      </c>
      <c r="B2202" s="9">
        <v>45870</v>
      </c>
      <c r="C2202" s="19"/>
    </row>
    <row r="2203" spans="1:4" x14ac:dyDescent="0.25">
      <c r="A2203" s="7" t="s">
        <v>7</v>
      </c>
      <c r="B2203" s="8" t="e">
        <f>VLOOKUP(D2195,'[1] Wages Sheet FORM XVII'!A$11:U2278,11,0)</f>
        <v>#N/A</v>
      </c>
      <c r="C2203" s="19"/>
    </row>
    <row r="2204" spans="1:4" x14ac:dyDescent="0.25">
      <c r="A2204" s="7" t="s">
        <v>6</v>
      </c>
      <c r="B2204" s="7">
        <v>0</v>
      </c>
      <c r="C2204" s="19"/>
    </row>
    <row r="2205" spans="1:4" x14ac:dyDescent="0.25">
      <c r="A2205" s="7" t="s">
        <v>5</v>
      </c>
      <c r="B2205" s="7" t="e">
        <f>VLOOKUP(D2195,'[1] Wages Sheet FORM XVII'!A$11:U2278,12,0)</f>
        <v>#N/A</v>
      </c>
      <c r="C2205" s="19"/>
    </row>
    <row r="2206" spans="1:4" x14ac:dyDescent="0.25">
      <c r="A2206" s="7" t="s">
        <v>4</v>
      </c>
      <c r="B2206" s="7" t="e">
        <f>VLOOKUP(D2195,'[1] Wages Sheet FORM XVII'!A$11:U$34,15,0)</f>
        <v>#N/A</v>
      </c>
      <c r="C2206" s="19"/>
    </row>
    <row r="2207" spans="1:4" x14ac:dyDescent="0.25">
      <c r="A2207" s="7" t="s">
        <v>3</v>
      </c>
      <c r="B2207" s="8" t="e">
        <f>VLOOKUP(D2195,'[1] Wages Sheet FORM XVII'!A$11:U2278,17,0)</f>
        <v>#N/A</v>
      </c>
      <c r="C2207" s="19"/>
    </row>
    <row r="2208" spans="1:4" x14ac:dyDescent="0.25">
      <c r="A2208" s="7" t="s">
        <v>2</v>
      </c>
      <c r="B2208" s="8" t="e">
        <f>VLOOKUP(D2195,'[1] Wages Sheet FORM XVII'!A$11:U2278,20,0)</f>
        <v>#N/A</v>
      </c>
      <c r="C2208" s="19"/>
    </row>
    <row r="2209" spans="1:4" x14ac:dyDescent="0.25">
      <c r="A2209" s="7" t="s">
        <v>1</v>
      </c>
      <c r="B2209" s="8" t="e">
        <f>VLOOKUP(D2195,'[1] Wages Sheet FORM XVII'!A$11:U2278,21,0)</f>
        <v>#N/A</v>
      </c>
      <c r="C2209" s="19"/>
    </row>
    <row r="2210" spans="1:4" x14ac:dyDescent="0.25">
      <c r="A2210" s="7"/>
      <c r="B2210" s="7"/>
      <c r="C2210" s="19"/>
    </row>
    <row r="2211" spans="1:4" x14ac:dyDescent="0.25">
      <c r="A2211" s="6"/>
      <c r="B2211" s="5" t="s">
        <v>0</v>
      </c>
      <c r="C2211" s="19"/>
    </row>
    <row r="2212" spans="1:4" x14ac:dyDescent="0.25">
      <c r="A2212" s="4"/>
      <c r="B2212" s="3"/>
      <c r="C2212" s="19"/>
    </row>
    <row r="2213" spans="1:4" x14ac:dyDescent="0.25">
      <c r="C2213" s="19"/>
    </row>
    <row r="2217" spans="1:4" ht="13.8" x14ac:dyDescent="0.25">
      <c r="A2217" s="18" t="s">
        <v>15</v>
      </c>
      <c r="B2217" s="17"/>
      <c r="D2217" s="1">
        <f>+D2195+1</f>
        <v>102</v>
      </c>
    </row>
    <row r="2218" spans="1:4" ht="13.8" x14ac:dyDescent="0.25">
      <c r="A2218" s="16" t="s">
        <v>14</v>
      </c>
      <c r="B2218" s="15"/>
    </row>
    <row r="2219" spans="1:4" ht="13.8" x14ac:dyDescent="0.25">
      <c r="A2219" s="14" t="s">
        <v>13</v>
      </c>
      <c r="B2219" s="13"/>
    </row>
    <row r="2220" spans="1:4" x14ac:dyDescent="0.25">
      <c r="A2220" s="6"/>
      <c r="B2220" s="5"/>
    </row>
    <row r="2221" spans="1:4" x14ac:dyDescent="0.25">
      <c r="A2221" s="12" t="s">
        <v>12</v>
      </c>
      <c r="B2221" s="11" t="str">
        <f>+'[1]FORM XIII'!$F$6</f>
        <v>SORYE CONTRUCTION</v>
      </c>
    </row>
    <row r="2222" spans="1:4" x14ac:dyDescent="0.25">
      <c r="A2222" s="7" t="s">
        <v>11</v>
      </c>
      <c r="B2222" s="7" t="e">
        <f>VLOOKUP(D2217,'[1] Wages Sheet FORM XVII'!A$11:U2300,3,0)</f>
        <v>#N/A</v>
      </c>
    </row>
    <row r="2223" spans="1:4" x14ac:dyDescent="0.25">
      <c r="A2223" s="7" t="s">
        <v>10</v>
      </c>
      <c r="B2223" s="10" t="s">
        <v>9</v>
      </c>
    </row>
    <row r="2224" spans="1:4" x14ac:dyDescent="0.25">
      <c r="A2224" s="7" t="s">
        <v>8</v>
      </c>
      <c r="B2224" s="9">
        <v>45870</v>
      </c>
    </row>
    <row r="2225" spans="1:4" x14ac:dyDescent="0.25">
      <c r="A2225" s="7" t="s">
        <v>7</v>
      </c>
      <c r="B2225" s="8" t="e">
        <f>VLOOKUP(D2217,'[1] Wages Sheet FORM XVII'!A$11:U2300,11,0)</f>
        <v>#N/A</v>
      </c>
    </row>
    <row r="2226" spans="1:4" x14ac:dyDescent="0.25">
      <c r="A2226" s="7" t="s">
        <v>6</v>
      </c>
      <c r="B2226" s="7">
        <v>0</v>
      </c>
    </row>
    <row r="2227" spans="1:4" x14ac:dyDescent="0.25">
      <c r="A2227" s="7" t="s">
        <v>5</v>
      </c>
      <c r="B2227" s="7" t="e">
        <f>VLOOKUP(D2217,'[1] Wages Sheet FORM XVII'!A$11:U2300,12,0)</f>
        <v>#N/A</v>
      </c>
    </row>
    <row r="2228" spans="1:4" x14ac:dyDescent="0.25">
      <c r="A2228" s="7" t="s">
        <v>4</v>
      </c>
      <c r="B2228" s="7" t="e">
        <f>VLOOKUP(D2217,'[1] Wages Sheet FORM XVII'!A$11:U$34,15,0)</f>
        <v>#N/A</v>
      </c>
    </row>
    <row r="2229" spans="1:4" x14ac:dyDescent="0.25">
      <c r="A2229" s="7" t="s">
        <v>3</v>
      </c>
      <c r="B2229" s="8" t="e">
        <f>VLOOKUP(D2217,'[1] Wages Sheet FORM XVII'!A$11:U2300,17,0)</f>
        <v>#N/A</v>
      </c>
    </row>
    <row r="2230" spans="1:4" x14ac:dyDescent="0.25">
      <c r="A2230" s="7" t="s">
        <v>2</v>
      </c>
      <c r="B2230" s="8" t="e">
        <f>VLOOKUP(D2217,'[1] Wages Sheet FORM XVII'!A$11:U2300,20,0)</f>
        <v>#N/A</v>
      </c>
    </row>
    <row r="2231" spans="1:4" x14ac:dyDescent="0.25">
      <c r="A2231" s="7" t="s">
        <v>1</v>
      </c>
      <c r="B2231" s="8" t="e">
        <f>VLOOKUP(D2217,'[1] Wages Sheet FORM XVII'!A$11:U2300,21,0)</f>
        <v>#N/A</v>
      </c>
    </row>
    <row r="2232" spans="1:4" x14ac:dyDescent="0.25">
      <c r="A2232" s="7"/>
      <c r="B2232" s="7"/>
    </row>
    <row r="2233" spans="1:4" x14ac:dyDescent="0.25">
      <c r="A2233" s="6"/>
      <c r="B2233" s="5" t="s">
        <v>0</v>
      </c>
    </row>
    <row r="2234" spans="1:4" x14ac:dyDescent="0.25">
      <c r="A2234" s="4"/>
      <c r="B2234" s="3"/>
    </row>
    <row r="2239" spans="1:4" ht="13.8" x14ac:dyDescent="0.25">
      <c r="A2239" s="18" t="s">
        <v>15</v>
      </c>
      <c r="B2239" s="17"/>
      <c r="D2239" s="1">
        <f>+D2217+1</f>
        <v>103</v>
      </c>
    </row>
    <row r="2240" spans="1:4" ht="13.8" x14ac:dyDescent="0.25">
      <c r="A2240" s="16" t="s">
        <v>14</v>
      </c>
      <c r="B2240" s="15"/>
    </row>
    <row r="2241" spans="1:2" ht="13.8" x14ac:dyDescent="0.25">
      <c r="A2241" s="14" t="s">
        <v>13</v>
      </c>
      <c r="B2241" s="13"/>
    </row>
    <row r="2242" spans="1:2" x14ac:dyDescent="0.25">
      <c r="A2242" s="6"/>
      <c r="B2242" s="5"/>
    </row>
    <row r="2243" spans="1:2" x14ac:dyDescent="0.25">
      <c r="A2243" s="12" t="s">
        <v>12</v>
      </c>
      <c r="B2243" s="11" t="str">
        <f>+'[1]FORM XIII'!$F$6</f>
        <v>SORYE CONTRUCTION</v>
      </c>
    </row>
    <row r="2244" spans="1:2" x14ac:dyDescent="0.25">
      <c r="A2244" s="7" t="s">
        <v>11</v>
      </c>
      <c r="B2244" s="7" t="e">
        <f>VLOOKUP(D2239,'[1] Wages Sheet FORM XVII'!A$11:U2322,3,0)</f>
        <v>#N/A</v>
      </c>
    </row>
    <row r="2245" spans="1:2" x14ac:dyDescent="0.25">
      <c r="A2245" s="7" t="s">
        <v>10</v>
      </c>
      <c r="B2245" s="10" t="s">
        <v>9</v>
      </c>
    </row>
    <row r="2246" spans="1:2" x14ac:dyDescent="0.25">
      <c r="A2246" s="7" t="s">
        <v>8</v>
      </c>
      <c r="B2246" s="9">
        <v>45870</v>
      </c>
    </row>
    <row r="2247" spans="1:2" x14ac:dyDescent="0.25">
      <c r="A2247" s="7" t="s">
        <v>7</v>
      </c>
      <c r="B2247" s="8" t="e">
        <f>VLOOKUP(D2239,'[1] Wages Sheet FORM XVII'!A$11:U2322,11,0)</f>
        <v>#N/A</v>
      </c>
    </row>
    <row r="2248" spans="1:2" x14ac:dyDescent="0.25">
      <c r="A2248" s="7" t="s">
        <v>6</v>
      </c>
      <c r="B2248" s="7">
        <v>0</v>
      </c>
    </row>
    <row r="2249" spans="1:2" x14ac:dyDescent="0.25">
      <c r="A2249" s="7" t="s">
        <v>5</v>
      </c>
      <c r="B2249" s="7" t="e">
        <f>VLOOKUP(D2239,'[1] Wages Sheet FORM XVII'!A$11:U2322,12,0)</f>
        <v>#N/A</v>
      </c>
    </row>
    <row r="2250" spans="1:2" x14ac:dyDescent="0.25">
      <c r="A2250" s="7" t="s">
        <v>4</v>
      </c>
      <c r="B2250" s="7" t="e">
        <f>VLOOKUP(D2239,'[1] Wages Sheet FORM XVII'!A$11:U$34,15,0)</f>
        <v>#N/A</v>
      </c>
    </row>
    <row r="2251" spans="1:2" x14ac:dyDescent="0.25">
      <c r="A2251" s="7" t="s">
        <v>3</v>
      </c>
      <c r="B2251" s="8" t="e">
        <f>VLOOKUP(D2239,'[1] Wages Sheet FORM XVII'!A$11:U2322,17,0)</f>
        <v>#N/A</v>
      </c>
    </row>
    <row r="2252" spans="1:2" x14ac:dyDescent="0.25">
      <c r="A2252" s="7" t="s">
        <v>2</v>
      </c>
      <c r="B2252" s="8" t="e">
        <f>VLOOKUP(D2239,'[1] Wages Sheet FORM XVII'!A$11:U2322,20,0)</f>
        <v>#N/A</v>
      </c>
    </row>
    <row r="2253" spans="1:2" x14ac:dyDescent="0.25">
      <c r="A2253" s="7" t="s">
        <v>1</v>
      </c>
      <c r="B2253" s="8" t="e">
        <f>VLOOKUP(D2239,'[1] Wages Sheet FORM XVII'!A$11:U2322,21,0)</f>
        <v>#N/A</v>
      </c>
    </row>
    <row r="2254" spans="1:2" x14ac:dyDescent="0.25">
      <c r="A2254" s="7"/>
      <c r="B2254" s="7"/>
    </row>
    <row r="2255" spans="1:2" x14ac:dyDescent="0.25">
      <c r="A2255" s="6"/>
      <c r="B2255" s="5" t="s">
        <v>0</v>
      </c>
    </row>
    <row r="2256" spans="1:2" x14ac:dyDescent="0.25">
      <c r="A2256" s="4"/>
      <c r="B2256" s="3"/>
    </row>
    <row r="2261" spans="1:4" ht="13.8" x14ac:dyDescent="0.25">
      <c r="A2261" s="18" t="s">
        <v>15</v>
      </c>
      <c r="B2261" s="17"/>
      <c r="D2261" s="1">
        <f>+D2239+1</f>
        <v>104</v>
      </c>
    </row>
    <row r="2262" spans="1:4" ht="13.8" x14ac:dyDescent="0.25">
      <c r="A2262" s="16" t="s">
        <v>14</v>
      </c>
      <c r="B2262" s="15"/>
    </row>
    <row r="2263" spans="1:4" ht="13.8" x14ac:dyDescent="0.25">
      <c r="A2263" s="14" t="s">
        <v>13</v>
      </c>
      <c r="B2263" s="13"/>
    </row>
    <row r="2264" spans="1:4" x14ac:dyDescent="0.25">
      <c r="A2264" s="6"/>
      <c r="B2264" s="5"/>
    </row>
    <row r="2265" spans="1:4" x14ac:dyDescent="0.25">
      <c r="A2265" s="12" t="s">
        <v>12</v>
      </c>
      <c r="B2265" s="11" t="str">
        <f>+'[1]FORM XIII'!$F$6</f>
        <v>SORYE CONTRUCTION</v>
      </c>
    </row>
    <row r="2266" spans="1:4" x14ac:dyDescent="0.25">
      <c r="A2266" s="7" t="s">
        <v>11</v>
      </c>
      <c r="B2266" s="7" t="e">
        <f>VLOOKUP(D2261,'[1] Wages Sheet FORM XVII'!A$11:U2344,3,0)</f>
        <v>#N/A</v>
      </c>
    </row>
    <row r="2267" spans="1:4" x14ac:dyDescent="0.25">
      <c r="A2267" s="7" t="s">
        <v>10</v>
      </c>
      <c r="B2267" s="10" t="s">
        <v>9</v>
      </c>
    </row>
    <row r="2268" spans="1:4" x14ac:dyDescent="0.25">
      <c r="A2268" s="7" t="s">
        <v>8</v>
      </c>
      <c r="B2268" s="9">
        <v>45870</v>
      </c>
    </row>
    <row r="2269" spans="1:4" x14ac:dyDescent="0.25">
      <c r="A2269" s="7" t="s">
        <v>7</v>
      </c>
      <c r="B2269" s="8" t="e">
        <f>VLOOKUP(D2261,'[1] Wages Sheet FORM XVII'!A$11:U2344,11,0)</f>
        <v>#N/A</v>
      </c>
    </row>
    <row r="2270" spans="1:4" x14ac:dyDescent="0.25">
      <c r="A2270" s="7" t="s">
        <v>6</v>
      </c>
      <c r="B2270" s="7">
        <v>0</v>
      </c>
    </row>
    <row r="2271" spans="1:4" x14ac:dyDescent="0.25">
      <c r="A2271" s="7" t="s">
        <v>5</v>
      </c>
      <c r="B2271" s="7" t="e">
        <f>VLOOKUP(D2261,'[1] Wages Sheet FORM XVII'!A$11:U2344,12,0)</f>
        <v>#N/A</v>
      </c>
    </row>
    <row r="2272" spans="1:4" x14ac:dyDescent="0.25">
      <c r="A2272" s="7" t="s">
        <v>4</v>
      </c>
      <c r="B2272" s="7" t="e">
        <f>VLOOKUP(D2261,'[1] Wages Sheet FORM XVII'!A$11:U$34,15,0)</f>
        <v>#N/A</v>
      </c>
    </row>
    <row r="2273" spans="1:4" x14ac:dyDescent="0.25">
      <c r="A2273" s="7" t="s">
        <v>3</v>
      </c>
      <c r="B2273" s="8" t="e">
        <f>VLOOKUP(D2261,'[1] Wages Sheet FORM XVII'!A$11:U2344,17,0)</f>
        <v>#N/A</v>
      </c>
    </row>
    <row r="2274" spans="1:4" x14ac:dyDescent="0.25">
      <c r="A2274" s="7" t="s">
        <v>2</v>
      </c>
      <c r="B2274" s="8" t="e">
        <f>VLOOKUP(D2261,'[1] Wages Sheet FORM XVII'!A$11:U2344,20,0)</f>
        <v>#N/A</v>
      </c>
    </row>
    <row r="2275" spans="1:4" x14ac:dyDescent="0.25">
      <c r="A2275" s="7" t="s">
        <v>1</v>
      </c>
      <c r="B2275" s="8" t="e">
        <f>VLOOKUP(D2261,'[1] Wages Sheet FORM XVII'!A$11:U2344,21,0)</f>
        <v>#N/A</v>
      </c>
    </row>
    <row r="2276" spans="1:4" x14ac:dyDescent="0.25">
      <c r="A2276" s="7"/>
      <c r="B2276" s="7"/>
    </row>
    <row r="2277" spans="1:4" x14ac:dyDescent="0.25">
      <c r="A2277" s="6"/>
      <c r="B2277" s="5" t="s">
        <v>0</v>
      </c>
    </row>
    <row r="2278" spans="1:4" x14ac:dyDescent="0.25">
      <c r="A2278" s="4"/>
      <c r="B2278" s="3"/>
    </row>
    <row r="2283" spans="1:4" ht="13.8" x14ac:dyDescent="0.25">
      <c r="A2283" s="18" t="s">
        <v>15</v>
      </c>
      <c r="B2283" s="17"/>
      <c r="C2283" s="19"/>
      <c r="D2283" s="1">
        <f>+D2261+1</f>
        <v>105</v>
      </c>
    </row>
    <row r="2284" spans="1:4" ht="13.8" x14ac:dyDescent="0.25">
      <c r="A2284" s="16" t="s">
        <v>14</v>
      </c>
      <c r="B2284" s="15"/>
      <c r="C2284" s="19"/>
    </row>
    <row r="2285" spans="1:4" ht="13.8" x14ac:dyDescent="0.25">
      <c r="A2285" s="14" t="s">
        <v>13</v>
      </c>
      <c r="B2285" s="13"/>
      <c r="C2285" s="19"/>
    </row>
    <row r="2286" spans="1:4" x14ac:dyDescent="0.25">
      <c r="A2286" s="6"/>
      <c r="B2286" s="5"/>
      <c r="C2286" s="19"/>
    </row>
    <row r="2287" spans="1:4" x14ac:dyDescent="0.25">
      <c r="A2287" s="12" t="s">
        <v>12</v>
      </c>
      <c r="B2287" s="11" t="str">
        <f>+'[1]FORM XIII'!$F$6</f>
        <v>SORYE CONTRUCTION</v>
      </c>
      <c r="C2287" s="19"/>
    </row>
    <row r="2288" spans="1:4" x14ac:dyDescent="0.25">
      <c r="A2288" s="7" t="s">
        <v>11</v>
      </c>
      <c r="B2288" s="7" t="e">
        <f>VLOOKUP(D2283,'[1] Wages Sheet FORM XVII'!A$11:U2366,3,0)</f>
        <v>#N/A</v>
      </c>
      <c r="C2288" s="19"/>
    </row>
    <row r="2289" spans="1:3" x14ac:dyDescent="0.25">
      <c r="A2289" s="7" t="s">
        <v>10</v>
      </c>
      <c r="B2289" s="10" t="s">
        <v>9</v>
      </c>
      <c r="C2289" s="19"/>
    </row>
    <row r="2290" spans="1:3" x14ac:dyDescent="0.25">
      <c r="A2290" s="7" t="s">
        <v>8</v>
      </c>
      <c r="B2290" s="9">
        <v>45870</v>
      </c>
      <c r="C2290" s="19"/>
    </row>
    <row r="2291" spans="1:3" x14ac:dyDescent="0.25">
      <c r="A2291" s="7" t="s">
        <v>7</v>
      </c>
      <c r="B2291" s="8" t="e">
        <f>VLOOKUP(D2283,'[1] Wages Sheet FORM XVII'!A$11:U2366,11,0)</f>
        <v>#N/A</v>
      </c>
      <c r="C2291" s="19"/>
    </row>
    <row r="2292" spans="1:3" x14ac:dyDescent="0.25">
      <c r="A2292" s="7" t="s">
        <v>6</v>
      </c>
      <c r="B2292" s="7">
        <v>0</v>
      </c>
      <c r="C2292" s="19"/>
    </row>
    <row r="2293" spans="1:3" x14ac:dyDescent="0.25">
      <c r="A2293" s="7" t="s">
        <v>5</v>
      </c>
      <c r="B2293" s="7" t="e">
        <f>VLOOKUP(D2283,'[1] Wages Sheet FORM XVII'!A$11:U2366,12,0)</f>
        <v>#N/A</v>
      </c>
      <c r="C2293" s="19"/>
    </row>
    <row r="2294" spans="1:3" x14ac:dyDescent="0.25">
      <c r="A2294" s="7" t="s">
        <v>4</v>
      </c>
      <c r="B2294" s="7" t="e">
        <f>VLOOKUP(D2283,'[1] Wages Sheet FORM XVII'!A$11:U$34,15,0)</f>
        <v>#N/A</v>
      </c>
      <c r="C2294" s="19"/>
    </row>
    <row r="2295" spans="1:3" x14ac:dyDescent="0.25">
      <c r="A2295" s="7" t="s">
        <v>3</v>
      </c>
      <c r="B2295" s="8" t="e">
        <f>VLOOKUP(D2283,'[1] Wages Sheet FORM XVII'!A$11:U2366,17,0)</f>
        <v>#N/A</v>
      </c>
      <c r="C2295" s="19"/>
    </row>
    <row r="2296" spans="1:3" x14ac:dyDescent="0.25">
      <c r="A2296" s="7" t="s">
        <v>2</v>
      </c>
      <c r="B2296" s="8" t="e">
        <f>VLOOKUP(D2283,'[1] Wages Sheet FORM XVII'!A$11:U2366,20,0)</f>
        <v>#N/A</v>
      </c>
      <c r="C2296" s="19"/>
    </row>
    <row r="2297" spans="1:3" x14ac:dyDescent="0.25">
      <c r="A2297" s="7" t="s">
        <v>1</v>
      </c>
      <c r="B2297" s="8" t="e">
        <f>VLOOKUP(D2283,'[1] Wages Sheet FORM XVII'!A$11:U2366,21,0)</f>
        <v>#N/A</v>
      </c>
      <c r="C2297" s="19"/>
    </row>
    <row r="2298" spans="1:3" x14ac:dyDescent="0.25">
      <c r="A2298" s="7"/>
      <c r="B2298" s="7"/>
      <c r="C2298" s="19"/>
    </row>
    <row r="2299" spans="1:3" x14ac:dyDescent="0.25">
      <c r="A2299" s="6"/>
      <c r="B2299" s="5" t="s">
        <v>0</v>
      </c>
      <c r="C2299" s="19"/>
    </row>
    <row r="2300" spans="1:3" x14ac:dyDescent="0.25">
      <c r="A2300" s="4"/>
      <c r="B2300" s="3"/>
      <c r="C2300" s="19"/>
    </row>
    <row r="2301" spans="1:3" x14ac:dyDescent="0.25">
      <c r="C2301" s="19"/>
    </row>
    <row r="2305" spans="1:4" ht="13.8" x14ac:dyDescent="0.25">
      <c r="A2305" s="18" t="s">
        <v>15</v>
      </c>
      <c r="B2305" s="17"/>
      <c r="D2305" s="1">
        <f>+D2283+1</f>
        <v>106</v>
      </c>
    </row>
    <row r="2306" spans="1:4" ht="13.8" x14ac:dyDescent="0.25">
      <c r="A2306" s="16" t="s">
        <v>14</v>
      </c>
      <c r="B2306" s="15"/>
    </row>
    <row r="2307" spans="1:4" ht="13.8" x14ac:dyDescent="0.25">
      <c r="A2307" s="14" t="s">
        <v>13</v>
      </c>
      <c r="B2307" s="13"/>
    </row>
    <row r="2308" spans="1:4" x14ac:dyDescent="0.25">
      <c r="A2308" s="6"/>
      <c r="B2308" s="5"/>
    </row>
    <row r="2309" spans="1:4" x14ac:dyDescent="0.25">
      <c r="A2309" s="12" t="s">
        <v>12</v>
      </c>
      <c r="B2309" s="11" t="str">
        <f>+'[1]FORM XIII'!$F$6</f>
        <v>SORYE CONTRUCTION</v>
      </c>
    </row>
    <row r="2310" spans="1:4" x14ac:dyDescent="0.25">
      <c r="A2310" s="7" t="s">
        <v>11</v>
      </c>
      <c r="B2310" s="7" t="e">
        <f>VLOOKUP(D2305,'[1] Wages Sheet FORM XVII'!A$11:U2388,3,0)</f>
        <v>#N/A</v>
      </c>
    </row>
    <row r="2311" spans="1:4" x14ac:dyDescent="0.25">
      <c r="A2311" s="7" t="s">
        <v>10</v>
      </c>
      <c r="B2311" s="10" t="s">
        <v>9</v>
      </c>
    </row>
    <row r="2312" spans="1:4" x14ac:dyDescent="0.25">
      <c r="A2312" s="7" t="s">
        <v>8</v>
      </c>
      <c r="B2312" s="9">
        <v>45870</v>
      </c>
    </row>
    <row r="2313" spans="1:4" x14ac:dyDescent="0.25">
      <c r="A2313" s="7" t="s">
        <v>7</v>
      </c>
      <c r="B2313" s="8" t="e">
        <f>VLOOKUP(D2305,'[1] Wages Sheet FORM XVII'!A$11:U2388,11,0)</f>
        <v>#N/A</v>
      </c>
    </row>
    <row r="2314" spans="1:4" x14ac:dyDescent="0.25">
      <c r="A2314" s="7" t="s">
        <v>6</v>
      </c>
      <c r="B2314" s="7">
        <v>0</v>
      </c>
    </row>
    <row r="2315" spans="1:4" x14ac:dyDescent="0.25">
      <c r="A2315" s="7" t="s">
        <v>5</v>
      </c>
      <c r="B2315" s="7" t="e">
        <f>VLOOKUP(D2305,'[1] Wages Sheet FORM XVII'!A$11:U2388,12,0)</f>
        <v>#N/A</v>
      </c>
    </row>
    <row r="2316" spans="1:4" x14ac:dyDescent="0.25">
      <c r="A2316" s="7" t="s">
        <v>4</v>
      </c>
      <c r="B2316" s="7" t="e">
        <f>VLOOKUP(D2305,'[1] Wages Sheet FORM XVII'!A$11:U$34,15,0)</f>
        <v>#N/A</v>
      </c>
    </row>
    <row r="2317" spans="1:4" x14ac:dyDescent="0.25">
      <c r="A2317" s="7" t="s">
        <v>3</v>
      </c>
      <c r="B2317" s="8" t="e">
        <f>VLOOKUP(D2305,'[1] Wages Sheet FORM XVII'!A$11:U2388,17,0)</f>
        <v>#N/A</v>
      </c>
    </row>
    <row r="2318" spans="1:4" x14ac:dyDescent="0.25">
      <c r="A2318" s="7" t="s">
        <v>2</v>
      </c>
      <c r="B2318" s="8" t="e">
        <f>VLOOKUP(D2305,'[1] Wages Sheet FORM XVII'!A$11:U2388,20,0)</f>
        <v>#N/A</v>
      </c>
    </row>
    <row r="2319" spans="1:4" x14ac:dyDescent="0.25">
      <c r="A2319" s="7" t="s">
        <v>1</v>
      </c>
      <c r="B2319" s="8" t="e">
        <f>VLOOKUP(D2305,'[1] Wages Sheet FORM XVII'!A$11:U2388,21,0)</f>
        <v>#N/A</v>
      </c>
    </row>
    <row r="2320" spans="1:4" x14ac:dyDescent="0.25">
      <c r="A2320" s="7"/>
      <c r="B2320" s="7"/>
    </row>
    <row r="2321" spans="1:4" x14ac:dyDescent="0.25">
      <c r="A2321" s="6"/>
      <c r="B2321" s="5" t="s">
        <v>0</v>
      </c>
    </row>
    <row r="2322" spans="1:4" x14ac:dyDescent="0.25">
      <c r="A2322" s="4"/>
      <c r="B2322" s="3"/>
    </row>
    <row r="2327" spans="1:4" ht="13.8" x14ac:dyDescent="0.25">
      <c r="A2327" s="18" t="s">
        <v>15</v>
      </c>
      <c r="B2327" s="17"/>
      <c r="D2327" s="1">
        <f>+D2305+1</f>
        <v>107</v>
      </c>
    </row>
    <row r="2328" spans="1:4" ht="13.8" x14ac:dyDescent="0.25">
      <c r="A2328" s="16" t="s">
        <v>14</v>
      </c>
      <c r="B2328" s="15"/>
    </row>
    <row r="2329" spans="1:4" ht="13.8" x14ac:dyDescent="0.25">
      <c r="A2329" s="14" t="s">
        <v>13</v>
      </c>
      <c r="B2329" s="13"/>
    </row>
    <row r="2330" spans="1:4" x14ac:dyDescent="0.25">
      <c r="A2330" s="6"/>
      <c r="B2330" s="5"/>
    </row>
    <row r="2331" spans="1:4" x14ac:dyDescent="0.25">
      <c r="A2331" s="12" t="s">
        <v>12</v>
      </c>
      <c r="B2331" s="11" t="str">
        <f>+'[1]FORM XIII'!$F$6</f>
        <v>SORYE CONTRUCTION</v>
      </c>
    </row>
    <row r="2332" spans="1:4" x14ac:dyDescent="0.25">
      <c r="A2332" s="7" t="s">
        <v>11</v>
      </c>
      <c r="B2332" s="7" t="e">
        <f>VLOOKUP(D2327,'[1] Wages Sheet FORM XVII'!A$11:U2410,3,0)</f>
        <v>#N/A</v>
      </c>
    </row>
    <row r="2333" spans="1:4" x14ac:dyDescent="0.25">
      <c r="A2333" s="7" t="s">
        <v>10</v>
      </c>
      <c r="B2333" s="10" t="s">
        <v>9</v>
      </c>
    </row>
    <row r="2334" spans="1:4" x14ac:dyDescent="0.25">
      <c r="A2334" s="7" t="s">
        <v>8</v>
      </c>
      <c r="B2334" s="9">
        <v>45870</v>
      </c>
    </row>
    <row r="2335" spans="1:4" x14ac:dyDescent="0.25">
      <c r="A2335" s="7" t="s">
        <v>7</v>
      </c>
      <c r="B2335" s="8" t="e">
        <f>VLOOKUP(D2327,'[1] Wages Sheet FORM XVII'!A$11:U2410,11,0)</f>
        <v>#N/A</v>
      </c>
    </row>
    <row r="2336" spans="1:4" x14ac:dyDescent="0.25">
      <c r="A2336" s="7" t="s">
        <v>6</v>
      </c>
      <c r="B2336" s="7">
        <v>0</v>
      </c>
    </row>
    <row r="2337" spans="1:4" x14ac:dyDescent="0.25">
      <c r="A2337" s="7" t="s">
        <v>5</v>
      </c>
      <c r="B2337" s="7" t="e">
        <f>VLOOKUP(D2327,'[1] Wages Sheet FORM XVII'!A$11:U2410,12,0)</f>
        <v>#N/A</v>
      </c>
    </row>
    <row r="2338" spans="1:4" x14ac:dyDescent="0.25">
      <c r="A2338" s="7" t="s">
        <v>4</v>
      </c>
      <c r="B2338" s="7" t="e">
        <f>VLOOKUP(D2327,'[1] Wages Sheet FORM XVII'!A$11:U$34,15,0)</f>
        <v>#N/A</v>
      </c>
    </row>
    <row r="2339" spans="1:4" x14ac:dyDescent="0.25">
      <c r="A2339" s="7" t="s">
        <v>3</v>
      </c>
      <c r="B2339" s="8" t="e">
        <f>VLOOKUP(D2327,'[1] Wages Sheet FORM XVII'!A$11:U2410,17,0)</f>
        <v>#N/A</v>
      </c>
    </row>
    <row r="2340" spans="1:4" x14ac:dyDescent="0.25">
      <c r="A2340" s="7" t="s">
        <v>2</v>
      </c>
      <c r="B2340" s="8" t="e">
        <f>VLOOKUP(D2327,'[1] Wages Sheet FORM XVII'!A$11:U2410,20,0)</f>
        <v>#N/A</v>
      </c>
    </row>
    <row r="2341" spans="1:4" x14ac:dyDescent="0.25">
      <c r="A2341" s="7" t="s">
        <v>1</v>
      </c>
      <c r="B2341" s="8" t="e">
        <f>VLOOKUP(D2327,'[1] Wages Sheet FORM XVII'!A$11:U2410,21,0)</f>
        <v>#N/A</v>
      </c>
    </row>
    <row r="2342" spans="1:4" x14ac:dyDescent="0.25">
      <c r="A2342" s="7"/>
      <c r="B2342" s="7"/>
    </row>
    <row r="2343" spans="1:4" x14ac:dyDescent="0.25">
      <c r="A2343" s="6"/>
      <c r="B2343" s="5" t="s">
        <v>0</v>
      </c>
    </row>
    <row r="2344" spans="1:4" x14ac:dyDescent="0.25">
      <c r="A2344" s="4"/>
      <c r="B2344" s="3"/>
    </row>
    <row r="2349" spans="1:4" ht="13.8" x14ac:dyDescent="0.25">
      <c r="A2349" s="18" t="s">
        <v>15</v>
      </c>
      <c r="B2349" s="17"/>
      <c r="D2349" s="1">
        <f>+D2327+1</f>
        <v>108</v>
      </c>
    </row>
    <row r="2350" spans="1:4" ht="13.8" x14ac:dyDescent="0.25">
      <c r="A2350" s="16" t="s">
        <v>14</v>
      </c>
      <c r="B2350" s="15"/>
    </row>
    <row r="2351" spans="1:4" ht="13.8" x14ac:dyDescent="0.25">
      <c r="A2351" s="14" t="s">
        <v>13</v>
      </c>
      <c r="B2351" s="13"/>
    </row>
    <row r="2352" spans="1:4" x14ac:dyDescent="0.25">
      <c r="A2352" s="6"/>
      <c r="B2352" s="5"/>
    </row>
    <row r="2353" spans="1:2" x14ac:dyDescent="0.25">
      <c r="A2353" s="12" t="s">
        <v>12</v>
      </c>
      <c r="B2353" s="11" t="str">
        <f>+'[1]FORM XIII'!$F$6</f>
        <v>SORYE CONTRUCTION</v>
      </c>
    </row>
    <row r="2354" spans="1:2" x14ac:dyDescent="0.25">
      <c r="A2354" s="7" t="s">
        <v>11</v>
      </c>
      <c r="B2354" s="7" t="e">
        <f>VLOOKUP(D2349,'[1] Wages Sheet FORM XVII'!A$11:U2432,3,0)</f>
        <v>#N/A</v>
      </c>
    </row>
    <row r="2355" spans="1:2" x14ac:dyDescent="0.25">
      <c r="A2355" s="7" t="s">
        <v>10</v>
      </c>
      <c r="B2355" s="10" t="s">
        <v>9</v>
      </c>
    </row>
    <row r="2356" spans="1:2" x14ac:dyDescent="0.25">
      <c r="A2356" s="7" t="s">
        <v>8</v>
      </c>
      <c r="B2356" s="9">
        <v>45870</v>
      </c>
    </row>
    <row r="2357" spans="1:2" x14ac:dyDescent="0.25">
      <c r="A2357" s="7" t="s">
        <v>7</v>
      </c>
      <c r="B2357" s="8" t="e">
        <f>VLOOKUP(D2349,'[1] Wages Sheet FORM XVII'!A$11:U2432,11,0)</f>
        <v>#N/A</v>
      </c>
    </row>
    <row r="2358" spans="1:2" x14ac:dyDescent="0.25">
      <c r="A2358" s="7" t="s">
        <v>6</v>
      </c>
      <c r="B2358" s="7">
        <v>0</v>
      </c>
    </row>
    <row r="2359" spans="1:2" x14ac:dyDescent="0.25">
      <c r="A2359" s="7" t="s">
        <v>5</v>
      </c>
      <c r="B2359" s="7" t="e">
        <f>VLOOKUP(D2349,'[1] Wages Sheet FORM XVII'!A$11:U2432,12,0)</f>
        <v>#N/A</v>
      </c>
    </row>
    <row r="2360" spans="1:2" x14ac:dyDescent="0.25">
      <c r="A2360" s="7" t="s">
        <v>4</v>
      </c>
      <c r="B2360" s="7" t="e">
        <f>VLOOKUP(D2349,'[1] Wages Sheet FORM XVII'!A$11:U$34,15,0)</f>
        <v>#N/A</v>
      </c>
    </row>
    <row r="2361" spans="1:2" x14ac:dyDescent="0.25">
      <c r="A2361" s="7" t="s">
        <v>3</v>
      </c>
      <c r="B2361" s="8" t="e">
        <f>VLOOKUP(D2349,'[1] Wages Sheet FORM XVII'!A$11:U2432,17,0)</f>
        <v>#N/A</v>
      </c>
    </row>
    <row r="2362" spans="1:2" x14ac:dyDescent="0.25">
      <c r="A2362" s="7" t="s">
        <v>2</v>
      </c>
      <c r="B2362" s="8" t="e">
        <f>VLOOKUP(D2349,'[1] Wages Sheet FORM XVII'!A$11:U2432,20,0)</f>
        <v>#N/A</v>
      </c>
    </row>
    <row r="2363" spans="1:2" x14ac:dyDescent="0.25">
      <c r="A2363" s="7" t="s">
        <v>1</v>
      </c>
      <c r="B2363" s="8" t="e">
        <f>VLOOKUP(D2349,'[1] Wages Sheet FORM XVII'!A$11:U2432,21,0)</f>
        <v>#N/A</v>
      </c>
    </row>
    <row r="2364" spans="1:2" x14ac:dyDescent="0.25">
      <c r="A2364" s="7"/>
      <c r="B2364" s="7"/>
    </row>
    <row r="2365" spans="1:2" x14ac:dyDescent="0.25">
      <c r="A2365" s="6"/>
      <c r="B2365" s="5" t="s">
        <v>0</v>
      </c>
    </row>
    <row r="2366" spans="1:2" x14ac:dyDescent="0.25">
      <c r="A2366" s="4"/>
      <c r="B2366" s="3"/>
    </row>
    <row r="2371" spans="1:4" ht="13.8" x14ac:dyDescent="0.25">
      <c r="A2371" s="18" t="s">
        <v>15</v>
      </c>
      <c r="B2371" s="17"/>
      <c r="C2371" s="19"/>
      <c r="D2371" s="1">
        <f>+D2349+1</f>
        <v>109</v>
      </c>
    </row>
    <row r="2372" spans="1:4" ht="13.8" x14ac:dyDescent="0.25">
      <c r="A2372" s="16" t="s">
        <v>14</v>
      </c>
      <c r="B2372" s="15"/>
      <c r="C2372" s="19"/>
    </row>
    <row r="2373" spans="1:4" ht="13.8" x14ac:dyDescent="0.25">
      <c r="A2373" s="14" t="s">
        <v>13</v>
      </c>
      <c r="B2373" s="13"/>
      <c r="C2373" s="19"/>
    </row>
    <row r="2374" spans="1:4" x14ac:dyDescent="0.25">
      <c r="A2374" s="6"/>
      <c r="B2374" s="5"/>
      <c r="C2374" s="19"/>
    </row>
    <row r="2375" spans="1:4" x14ac:dyDescent="0.25">
      <c r="A2375" s="12" t="s">
        <v>12</v>
      </c>
      <c r="B2375" s="11" t="str">
        <f>+'[1]FORM XIII'!$F$6</f>
        <v>SORYE CONTRUCTION</v>
      </c>
      <c r="C2375" s="19"/>
    </row>
    <row r="2376" spans="1:4" x14ac:dyDescent="0.25">
      <c r="A2376" s="7" t="s">
        <v>11</v>
      </c>
      <c r="B2376" s="7" t="e">
        <f>VLOOKUP(D2371,'[1] Wages Sheet FORM XVII'!A$11:U2454,3,0)</f>
        <v>#N/A</v>
      </c>
      <c r="C2376" s="19"/>
    </row>
    <row r="2377" spans="1:4" x14ac:dyDescent="0.25">
      <c r="A2377" s="7" t="s">
        <v>10</v>
      </c>
      <c r="B2377" s="10" t="s">
        <v>9</v>
      </c>
      <c r="C2377" s="19"/>
    </row>
    <row r="2378" spans="1:4" x14ac:dyDescent="0.25">
      <c r="A2378" s="7" t="s">
        <v>8</v>
      </c>
      <c r="B2378" s="9">
        <v>45870</v>
      </c>
      <c r="C2378" s="19"/>
    </row>
    <row r="2379" spans="1:4" x14ac:dyDescent="0.25">
      <c r="A2379" s="7" t="s">
        <v>7</v>
      </c>
      <c r="B2379" s="8" t="e">
        <f>VLOOKUP(D2371,'[1] Wages Sheet FORM XVII'!A$11:U2454,11,0)</f>
        <v>#N/A</v>
      </c>
      <c r="C2379" s="19"/>
    </row>
    <row r="2380" spans="1:4" x14ac:dyDescent="0.25">
      <c r="A2380" s="7" t="s">
        <v>6</v>
      </c>
      <c r="B2380" s="7">
        <v>0</v>
      </c>
      <c r="C2380" s="19"/>
    </row>
    <row r="2381" spans="1:4" x14ac:dyDescent="0.25">
      <c r="A2381" s="7" t="s">
        <v>5</v>
      </c>
      <c r="B2381" s="7" t="e">
        <f>VLOOKUP(D2371,'[1] Wages Sheet FORM XVII'!A$11:U2454,12,0)</f>
        <v>#N/A</v>
      </c>
      <c r="C2381" s="19"/>
    </row>
    <row r="2382" spans="1:4" x14ac:dyDescent="0.25">
      <c r="A2382" s="7" t="s">
        <v>4</v>
      </c>
      <c r="B2382" s="7" t="e">
        <f>VLOOKUP(D2371,'[1] Wages Sheet FORM XVII'!A$11:U$34,15,0)</f>
        <v>#N/A</v>
      </c>
      <c r="C2382" s="19"/>
    </row>
    <row r="2383" spans="1:4" x14ac:dyDescent="0.25">
      <c r="A2383" s="7" t="s">
        <v>3</v>
      </c>
      <c r="B2383" s="8" t="e">
        <f>VLOOKUP(D2371,'[1] Wages Sheet FORM XVII'!A$11:U2454,17,0)</f>
        <v>#N/A</v>
      </c>
      <c r="C2383" s="19"/>
    </row>
    <row r="2384" spans="1:4" x14ac:dyDescent="0.25">
      <c r="A2384" s="7" t="s">
        <v>2</v>
      </c>
      <c r="B2384" s="8" t="e">
        <f>VLOOKUP(D2371,'[1] Wages Sheet FORM XVII'!A$11:U2454,20,0)</f>
        <v>#N/A</v>
      </c>
      <c r="C2384" s="19"/>
    </row>
    <row r="2385" spans="1:4" x14ac:dyDescent="0.25">
      <c r="A2385" s="7" t="s">
        <v>1</v>
      </c>
      <c r="B2385" s="8" t="e">
        <f>VLOOKUP(D2371,'[1] Wages Sheet FORM XVII'!A$11:U2454,21,0)</f>
        <v>#N/A</v>
      </c>
      <c r="C2385" s="19"/>
    </row>
    <row r="2386" spans="1:4" x14ac:dyDescent="0.25">
      <c r="A2386" s="7"/>
      <c r="B2386" s="7"/>
      <c r="C2386" s="19"/>
    </row>
    <row r="2387" spans="1:4" x14ac:dyDescent="0.25">
      <c r="A2387" s="6"/>
      <c r="B2387" s="5" t="s">
        <v>0</v>
      </c>
      <c r="C2387" s="19"/>
    </row>
    <row r="2388" spans="1:4" x14ac:dyDescent="0.25">
      <c r="A2388" s="4"/>
      <c r="B2388" s="3"/>
      <c r="C2388" s="19"/>
    </row>
    <row r="2389" spans="1:4" x14ac:dyDescent="0.25">
      <c r="C2389" s="19"/>
    </row>
    <row r="2393" spans="1:4" ht="13.8" x14ac:dyDescent="0.25">
      <c r="A2393" s="18" t="s">
        <v>15</v>
      </c>
      <c r="B2393" s="17"/>
      <c r="D2393" s="1">
        <f>+D2371+1</f>
        <v>110</v>
      </c>
    </row>
    <row r="2394" spans="1:4" ht="13.8" x14ac:dyDescent="0.25">
      <c r="A2394" s="16" t="s">
        <v>14</v>
      </c>
      <c r="B2394" s="15"/>
    </row>
    <row r="2395" spans="1:4" ht="13.8" x14ac:dyDescent="0.25">
      <c r="A2395" s="14" t="s">
        <v>13</v>
      </c>
      <c r="B2395" s="13"/>
    </row>
    <row r="2396" spans="1:4" x14ac:dyDescent="0.25">
      <c r="A2396" s="6"/>
      <c r="B2396" s="5"/>
    </row>
    <row r="2397" spans="1:4" x14ac:dyDescent="0.25">
      <c r="A2397" s="12" t="s">
        <v>12</v>
      </c>
      <c r="B2397" s="11" t="str">
        <f>+'[1]FORM XIII'!$F$6</f>
        <v>SORYE CONTRUCTION</v>
      </c>
    </row>
    <row r="2398" spans="1:4" x14ac:dyDescent="0.25">
      <c r="A2398" s="7" t="s">
        <v>11</v>
      </c>
      <c r="B2398" s="7" t="e">
        <f>VLOOKUP(D2393,'[1] Wages Sheet FORM XVII'!A$11:U2476,3,0)</f>
        <v>#N/A</v>
      </c>
    </row>
    <row r="2399" spans="1:4" x14ac:dyDescent="0.25">
      <c r="A2399" s="7" t="s">
        <v>10</v>
      </c>
      <c r="B2399" s="10" t="s">
        <v>9</v>
      </c>
    </row>
    <row r="2400" spans="1:4" x14ac:dyDescent="0.25">
      <c r="A2400" s="7" t="s">
        <v>8</v>
      </c>
      <c r="B2400" s="9">
        <v>45870</v>
      </c>
    </row>
    <row r="2401" spans="1:4" x14ac:dyDescent="0.25">
      <c r="A2401" s="7" t="s">
        <v>7</v>
      </c>
      <c r="B2401" s="8" t="e">
        <f>VLOOKUP(D2393,'[1] Wages Sheet FORM XVII'!A$11:U2476,11,0)</f>
        <v>#N/A</v>
      </c>
    </row>
    <row r="2402" spans="1:4" x14ac:dyDescent="0.25">
      <c r="A2402" s="7" t="s">
        <v>6</v>
      </c>
      <c r="B2402" s="7">
        <v>0</v>
      </c>
    </row>
    <row r="2403" spans="1:4" x14ac:dyDescent="0.25">
      <c r="A2403" s="7" t="s">
        <v>5</v>
      </c>
      <c r="B2403" s="7" t="e">
        <f>VLOOKUP(D2393,'[1] Wages Sheet FORM XVII'!A$11:U2476,12,0)</f>
        <v>#N/A</v>
      </c>
    </row>
    <row r="2404" spans="1:4" x14ac:dyDescent="0.25">
      <c r="A2404" s="7" t="s">
        <v>4</v>
      </c>
      <c r="B2404" s="7" t="e">
        <f>VLOOKUP(D2393,'[1] Wages Sheet FORM XVII'!A$11:U$34,15,0)</f>
        <v>#N/A</v>
      </c>
    </row>
    <row r="2405" spans="1:4" x14ac:dyDescent="0.25">
      <c r="A2405" s="7" t="s">
        <v>3</v>
      </c>
      <c r="B2405" s="8" t="e">
        <f>VLOOKUP(D2393,'[1] Wages Sheet FORM XVII'!A$11:U2476,17,0)</f>
        <v>#N/A</v>
      </c>
    </row>
    <row r="2406" spans="1:4" x14ac:dyDescent="0.25">
      <c r="A2406" s="7" t="s">
        <v>2</v>
      </c>
      <c r="B2406" s="8" t="e">
        <f>VLOOKUP(D2393,'[1] Wages Sheet FORM XVII'!A$11:U2476,20,0)</f>
        <v>#N/A</v>
      </c>
    </row>
    <row r="2407" spans="1:4" x14ac:dyDescent="0.25">
      <c r="A2407" s="7" t="s">
        <v>1</v>
      </c>
      <c r="B2407" s="8" t="e">
        <f>VLOOKUP(D2393,'[1] Wages Sheet FORM XVII'!A$11:U2476,21,0)</f>
        <v>#N/A</v>
      </c>
    </row>
    <row r="2408" spans="1:4" x14ac:dyDescent="0.25">
      <c r="A2408" s="7"/>
      <c r="B2408" s="7"/>
    </row>
    <row r="2409" spans="1:4" x14ac:dyDescent="0.25">
      <c r="A2409" s="6"/>
      <c r="B2409" s="5" t="s">
        <v>0</v>
      </c>
    </row>
    <row r="2410" spans="1:4" x14ac:dyDescent="0.25">
      <c r="A2410" s="4"/>
      <c r="B2410" s="3"/>
    </row>
    <row r="2415" spans="1:4" ht="13.8" x14ac:dyDescent="0.25">
      <c r="A2415" s="18" t="s">
        <v>15</v>
      </c>
      <c r="B2415" s="17"/>
      <c r="D2415" s="1">
        <f>+D2393+1</f>
        <v>111</v>
      </c>
    </row>
    <row r="2416" spans="1:4" ht="13.8" x14ac:dyDescent="0.25">
      <c r="A2416" s="16" t="s">
        <v>14</v>
      </c>
      <c r="B2416" s="15"/>
    </row>
    <row r="2417" spans="1:2" ht="13.8" x14ac:dyDescent="0.25">
      <c r="A2417" s="14" t="s">
        <v>13</v>
      </c>
      <c r="B2417" s="13"/>
    </row>
    <row r="2418" spans="1:2" x14ac:dyDescent="0.25">
      <c r="A2418" s="6"/>
      <c r="B2418" s="5"/>
    </row>
    <row r="2419" spans="1:2" x14ac:dyDescent="0.25">
      <c r="A2419" s="12" t="s">
        <v>12</v>
      </c>
      <c r="B2419" s="11" t="str">
        <f>+'[1]FORM XIII'!$F$6</f>
        <v>SORYE CONTRUCTION</v>
      </c>
    </row>
    <row r="2420" spans="1:2" x14ac:dyDescent="0.25">
      <c r="A2420" s="7" t="s">
        <v>11</v>
      </c>
      <c r="B2420" s="7" t="e">
        <f>VLOOKUP(D2415,'[1] Wages Sheet FORM XVII'!A$11:U2498,3,0)</f>
        <v>#N/A</v>
      </c>
    </row>
    <row r="2421" spans="1:2" x14ac:dyDescent="0.25">
      <c r="A2421" s="7" t="s">
        <v>10</v>
      </c>
      <c r="B2421" s="10" t="s">
        <v>9</v>
      </c>
    </row>
    <row r="2422" spans="1:2" x14ac:dyDescent="0.25">
      <c r="A2422" s="7" t="s">
        <v>8</v>
      </c>
      <c r="B2422" s="9">
        <v>45870</v>
      </c>
    </row>
    <row r="2423" spans="1:2" x14ac:dyDescent="0.25">
      <c r="A2423" s="7" t="s">
        <v>7</v>
      </c>
      <c r="B2423" s="8" t="e">
        <f>VLOOKUP(D2415,'[1] Wages Sheet FORM XVII'!A$11:U2498,11,0)</f>
        <v>#N/A</v>
      </c>
    </row>
    <row r="2424" spans="1:2" x14ac:dyDescent="0.25">
      <c r="A2424" s="7" t="s">
        <v>6</v>
      </c>
      <c r="B2424" s="7">
        <v>0</v>
      </c>
    </row>
    <row r="2425" spans="1:2" x14ac:dyDescent="0.25">
      <c r="A2425" s="7" t="s">
        <v>5</v>
      </c>
      <c r="B2425" s="7" t="e">
        <f>VLOOKUP(D2415,'[1] Wages Sheet FORM XVII'!A$11:U2498,12,0)</f>
        <v>#N/A</v>
      </c>
    </row>
    <row r="2426" spans="1:2" x14ac:dyDescent="0.25">
      <c r="A2426" s="7" t="s">
        <v>4</v>
      </c>
      <c r="B2426" s="7" t="e">
        <f>VLOOKUP(D2415,'[1] Wages Sheet FORM XVII'!A$11:U$34,15,0)</f>
        <v>#N/A</v>
      </c>
    </row>
    <row r="2427" spans="1:2" x14ac:dyDescent="0.25">
      <c r="A2427" s="7" t="s">
        <v>3</v>
      </c>
      <c r="B2427" s="8" t="e">
        <f>VLOOKUP(D2415,'[1] Wages Sheet FORM XVII'!A$11:U2498,17,0)</f>
        <v>#N/A</v>
      </c>
    </row>
    <row r="2428" spans="1:2" x14ac:dyDescent="0.25">
      <c r="A2428" s="7" t="s">
        <v>2</v>
      </c>
      <c r="B2428" s="8" t="e">
        <f>VLOOKUP(D2415,'[1] Wages Sheet FORM XVII'!A$11:U2498,20,0)</f>
        <v>#N/A</v>
      </c>
    </row>
    <row r="2429" spans="1:2" x14ac:dyDescent="0.25">
      <c r="A2429" s="7" t="s">
        <v>1</v>
      </c>
      <c r="B2429" s="8" t="e">
        <f>VLOOKUP(D2415,'[1] Wages Sheet FORM XVII'!A$11:U2498,21,0)</f>
        <v>#N/A</v>
      </c>
    </row>
    <row r="2430" spans="1:2" x14ac:dyDescent="0.25">
      <c r="A2430" s="7"/>
      <c r="B2430" s="7"/>
    </row>
    <row r="2431" spans="1:2" x14ac:dyDescent="0.25">
      <c r="A2431" s="6"/>
      <c r="B2431" s="5" t="s">
        <v>0</v>
      </c>
    </row>
    <row r="2432" spans="1:2" x14ac:dyDescent="0.25">
      <c r="A2432" s="4"/>
      <c r="B2432" s="3"/>
    </row>
    <row r="2437" spans="1:4" ht="13.8" x14ac:dyDescent="0.25">
      <c r="A2437" s="18" t="s">
        <v>15</v>
      </c>
      <c r="B2437" s="17"/>
      <c r="D2437" s="1">
        <f>+D2415+1</f>
        <v>112</v>
      </c>
    </row>
    <row r="2438" spans="1:4" ht="13.8" x14ac:dyDescent="0.25">
      <c r="A2438" s="16" t="s">
        <v>14</v>
      </c>
      <c r="B2438" s="15"/>
    </row>
    <row r="2439" spans="1:4" ht="13.8" x14ac:dyDescent="0.25">
      <c r="A2439" s="14" t="s">
        <v>13</v>
      </c>
      <c r="B2439" s="13"/>
    </row>
    <row r="2440" spans="1:4" x14ac:dyDescent="0.25">
      <c r="A2440" s="6"/>
      <c r="B2440" s="5"/>
    </row>
    <row r="2441" spans="1:4" x14ac:dyDescent="0.25">
      <c r="A2441" s="12" t="s">
        <v>12</v>
      </c>
      <c r="B2441" s="11" t="str">
        <f>+'[1]FORM XIII'!$F$6</f>
        <v>SORYE CONTRUCTION</v>
      </c>
    </row>
    <row r="2442" spans="1:4" x14ac:dyDescent="0.25">
      <c r="A2442" s="7" t="s">
        <v>11</v>
      </c>
      <c r="B2442" s="7" t="e">
        <f>VLOOKUP(D2437,'[1] Wages Sheet FORM XVII'!A$11:U2520,3,0)</f>
        <v>#N/A</v>
      </c>
    </row>
    <row r="2443" spans="1:4" x14ac:dyDescent="0.25">
      <c r="A2443" s="7" t="s">
        <v>10</v>
      </c>
      <c r="B2443" s="10" t="s">
        <v>9</v>
      </c>
    </row>
    <row r="2444" spans="1:4" x14ac:dyDescent="0.25">
      <c r="A2444" s="7" t="s">
        <v>8</v>
      </c>
      <c r="B2444" s="9">
        <v>45870</v>
      </c>
    </row>
    <row r="2445" spans="1:4" x14ac:dyDescent="0.25">
      <c r="A2445" s="7" t="s">
        <v>7</v>
      </c>
      <c r="B2445" s="8" t="e">
        <f>VLOOKUP(D2437,'[1] Wages Sheet FORM XVII'!A$11:U2520,11,0)</f>
        <v>#N/A</v>
      </c>
    </row>
    <row r="2446" spans="1:4" x14ac:dyDescent="0.25">
      <c r="A2446" s="7" t="s">
        <v>6</v>
      </c>
      <c r="B2446" s="7">
        <v>0</v>
      </c>
    </row>
    <row r="2447" spans="1:4" x14ac:dyDescent="0.25">
      <c r="A2447" s="7" t="s">
        <v>5</v>
      </c>
      <c r="B2447" s="7" t="e">
        <f>VLOOKUP(D2437,'[1] Wages Sheet FORM XVII'!A$11:U2520,12,0)</f>
        <v>#N/A</v>
      </c>
    </row>
    <row r="2448" spans="1:4" x14ac:dyDescent="0.25">
      <c r="A2448" s="7" t="s">
        <v>4</v>
      </c>
      <c r="B2448" s="7" t="e">
        <f>VLOOKUP(D2437,'[1] Wages Sheet FORM XVII'!A$11:U$34,15,0)</f>
        <v>#N/A</v>
      </c>
    </row>
    <row r="2449" spans="1:2" x14ac:dyDescent="0.25">
      <c r="A2449" s="7" t="s">
        <v>3</v>
      </c>
      <c r="B2449" s="8" t="e">
        <f>VLOOKUP(D2437,'[1] Wages Sheet FORM XVII'!A$11:U2520,17,0)</f>
        <v>#N/A</v>
      </c>
    </row>
    <row r="2450" spans="1:2" x14ac:dyDescent="0.25">
      <c r="A2450" s="7" t="s">
        <v>2</v>
      </c>
      <c r="B2450" s="8" t="e">
        <f>VLOOKUP(D2437,'[1] Wages Sheet FORM XVII'!A$11:U2520,20,0)</f>
        <v>#N/A</v>
      </c>
    </row>
    <row r="2451" spans="1:2" x14ac:dyDescent="0.25">
      <c r="A2451" s="7" t="s">
        <v>1</v>
      </c>
      <c r="B2451" s="8" t="e">
        <f>VLOOKUP(D2437,'[1] Wages Sheet FORM XVII'!A$11:U2520,21,0)</f>
        <v>#N/A</v>
      </c>
    </row>
    <row r="2452" spans="1:2" x14ac:dyDescent="0.25">
      <c r="A2452" s="7"/>
      <c r="B2452" s="7"/>
    </row>
    <row r="2453" spans="1:2" x14ac:dyDescent="0.25">
      <c r="A2453" s="6"/>
      <c r="B2453" s="5" t="s">
        <v>0</v>
      </c>
    </row>
    <row r="2454" spans="1:2" x14ac:dyDescent="0.25">
      <c r="A2454" s="4"/>
      <c r="B2454" s="3"/>
    </row>
  </sheetData>
  <mergeCells count="435">
    <mergeCell ref="A2437:B2437"/>
    <mergeCell ref="A2438:B2438"/>
    <mergeCell ref="A2439:B2439"/>
    <mergeCell ref="A2393:B2393"/>
    <mergeCell ref="A2394:B2394"/>
    <mergeCell ref="A2395:B2395"/>
    <mergeCell ref="A2415:B2415"/>
    <mergeCell ref="A2416:B2416"/>
    <mergeCell ref="A2417:B2417"/>
    <mergeCell ref="A2349:B2349"/>
    <mergeCell ref="A2350:B2350"/>
    <mergeCell ref="A2351:B2351"/>
    <mergeCell ref="A2371:B2371"/>
    <mergeCell ref="C2371:C2389"/>
    <mergeCell ref="A2372:B2372"/>
    <mergeCell ref="A2373:B2373"/>
    <mergeCell ref="A2305:B2305"/>
    <mergeCell ref="A2306:B2306"/>
    <mergeCell ref="A2307:B2307"/>
    <mergeCell ref="A2327:B2327"/>
    <mergeCell ref="A2328:B2328"/>
    <mergeCell ref="A2329:B2329"/>
    <mergeCell ref="A2261:B2261"/>
    <mergeCell ref="A2262:B2262"/>
    <mergeCell ref="A2263:B2263"/>
    <mergeCell ref="A2283:B2283"/>
    <mergeCell ref="C2283:C2301"/>
    <mergeCell ref="A2284:B2284"/>
    <mergeCell ref="A2285:B2285"/>
    <mergeCell ref="A2217:B2217"/>
    <mergeCell ref="A2218:B2218"/>
    <mergeCell ref="A2219:B2219"/>
    <mergeCell ref="A2239:B2239"/>
    <mergeCell ref="A2240:B2240"/>
    <mergeCell ref="A2241:B2241"/>
    <mergeCell ref="A2173:B2173"/>
    <mergeCell ref="A2174:B2174"/>
    <mergeCell ref="A2175:B2175"/>
    <mergeCell ref="A2195:B2195"/>
    <mergeCell ref="C2195:C2213"/>
    <mergeCell ref="A2196:B2196"/>
    <mergeCell ref="A2197:B2197"/>
    <mergeCell ref="A2129:B2129"/>
    <mergeCell ref="A2130:B2130"/>
    <mergeCell ref="A2131:B2131"/>
    <mergeCell ref="A2151:B2151"/>
    <mergeCell ref="A2152:B2152"/>
    <mergeCell ref="A2153:B2153"/>
    <mergeCell ref="A2085:B2085"/>
    <mergeCell ref="A2086:B2086"/>
    <mergeCell ref="A2087:B2087"/>
    <mergeCell ref="A2107:B2107"/>
    <mergeCell ref="C2107:C2125"/>
    <mergeCell ref="A2108:B2108"/>
    <mergeCell ref="A2109:B2109"/>
    <mergeCell ref="A2041:B2041"/>
    <mergeCell ref="A2042:B2042"/>
    <mergeCell ref="A2043:B2043"/>
    <mergeCell ref="A2063:B2063"/>
    <mergeCell ref="A2064:B2064"/>
    <mergeCell ref="A2065:B2065"/>
    <mergeCell ref="A1997:B1997"/>
    <mergeCell ref="A1998:B1998"/>
    <mergeCell ref="A1999:B1999"/>
    <mergeCell ref="A2019:B2019"/>
    <mergeCell ref="C2019:C2037"/>
    <mergeCell ref="A2020:B2020"/>
    <mergeCell ref="A2021:B2021"/>
    <mergeCell ref="A1953:B1953"/>
    <mergeCell ref="A1954:B1954"/>
    <mergeCell ref="A1955:B1955"/>
    <mergeCell ref="A1975:B1975"/>
    <mergeCell ref="A1976:B1976"/>
    <mergeCell ref="A1977:B1977"/>
    <mergeCell ref="A1909:B1909"/>
    <mergeCell ref="A1910:B1910"/>
    <mergeCell ref="A1911:B1911"/>
    <mergeCell ref="A1931:B1931"/>
    <mergeCell ref="C1931:C1949"/>
    <mergeCell ref="A1932:B1932"/>
    <mergeCell ref="A1933:B1933"/>
    <mergeCell ref="A1865:B1865"/>
    <mergeCell ref="A1866:B1866"/>
    <mergeCell ref="A1867:B1867"/>
    <mergeCell ref="A1887:B1887"/>
    <mergeCell ref="A1888:B1888"/>
    <mergeCell ref="A1889:B1889"/>
    <mergeCell ref="A1821:B1821"/>
    <mergeCell ref="A1822:B1822"/>
    <mergeCell ref="A1823:B1823"/>
    <mergeCell ref="A1843:B1843"/>
    <mergeCell ref="C1843:C1861"/>
    <mergeCell ref="A1844:B1844"/>
    <mergeCell ref="A1845:B1845"/>
    <mergeCell ref="A1777:B1777"/>
    <mergeCell ref="A1778:B1778"/>
    <mergeCell ref="A1779:B1779"/>
    <mergeCell ref="A1799:B1799"/>
    <mergeCell ref="A1800:B1800"/>
    <mergeCell ref="A1801:B1801"/>
    <mergeCell ref="A1734:B1734"/>
    <mergeCell ref="A1735:B1735"/>
    <mergeCell ref="A1755:B1755"/>
    <mergeCell ref="C1755:C1773"/>
    <mergeCell ref="A1756:B1756"/>
    <mergeCell ref="A1757:B1757"/>
    <mergeCell ref="A1690:B1690"/>
    <mergeCell ref="A1691:B1691"/>
    <mergeCell ref="A1711:B1711"/>
    <mergeCell ref="A1712:B1712"/>
    <mergeCell ref="A1713:B1713"/>
    <mergeCell ref="A1733:B1733"/>
    <mergeCell ref="A1647:B1647"/>
    <mergeCell ref="A1667:B1667"/>
    <mergeCell ref="C1667:C1685"/>
    <mergeCell ref="A1668:B1668"/>
    <mergeCell ref="A1669:B1669"/>
    <mergeCell ref="A1689:B1689"/>
    <mergeCell ref="A1603:B1603"/>
    <mergeCell ref="A1623:B1623"/>
    <mergeCell ref="A1624:B1624"/>
    <mergeCell ref="A1625:B1625"/>
    <mergeCell ref="A1645:B1645"/>
    <mergeCell ref="A1646:B1646"/>
    <mergeCell ref="A1579:B1579"/>
    <mergeCell ref="C1579:C1597"/>
    <mergeCell ref="A1580:B1580"/>
    <mergeCell ref="A1581:B1581"/>
    <mergeCell ref="A1601:B1601"/>
    <mergeCell ref="A1602:B1602"/>
    <mergeCell ref="A1535:B1535"/>
    <mergeCell ref="A1536:B1536"/>
    <mergeCell ref="A1537:B1537"/>
    <mergeCell ref="A1557:B1557"/>
    <mergeCell ref="A1558:B1558"/>
    <mergeCell ref="A1559:B1559"/>
    <mergeCell ref="C1491:C1509"/>
    <mergeCell ref="A1492:B1492"/>
    <mergeCell ref="A1493:B1493"/>
    <mergeCell ref="A1513:B1513"/>
    <mergeCell ref="A1514:B1514"/>
    <mergeCell ref="A1515:B1515"/>
    <mergeCell ref="A1448:B1448"/>
    <mergeCell ref="A1449:B1449"/>
    <mergeCell ref="A1469:B1469"/>
    <mergeCell ref="A1470:B1470"/>
    <mergeCell ref="A1471:B1471"/>
    <mergeCell ref="A1491:B1491"/>
    <mergeCell ref="A1403:B1403"/>
    <mergeCell ref="C1403:C1421"/>
    <mergeCell ref="A1404:B1404"/>
    <mergeCell ref="A1405:B1405"/>
    <mergeCell ref="A1425:B1425"/>
    <mergeCell ref="A1447:B1447"/>
    <mergeCell ref="A1359:B1359"/>
    <mergeCell ref="A1360:B1360"/>
    <mergeCell ref="A1361:B1361"/>
    <mergeCell ref="A1381:B1381"/>
    <mergeCell ref="A1382:B1382"/>
    <mergeCell ref="A1383:B1383"/>
    <mergeCell ref="A1315:B1315"/>
    <mergeCell ref="C1315:C1333"/>
    <mergeCell ref="A1316:B1316"/>
    <mergeCell ref="A1317:B1317"/>
    <mergeCell ref="A1337:B1337"/>
    <mergeCell ref="A1339:B1339"/>
    <mergeCell ref="A1250:B1250"/>
    <mergeCell ref="A1251:B1251"/>
    <mergeCell ref="A1271:B1271"/>
    <mergeCell ref="A1272:B1272"/>
    <mergeCell ref="A1273:B1273"/>
    <mergeCell ref="A1295:B1295"/>
    <mergeCell ref="A1207:B1207"/>
    <mergeCell ref="A1227:B1227"/>
    <mergeCell ref="C1227:C1245"/>
    <mergeCell ref="A1228:B1228"/>
    <mergeCell ref="A1229:B1229"/>
    <mergeCell ref="A1249:B1249"/>
    <mergeCell ref="A1119:B1119"/>
    <mergeCell ref="C1139:C1157"/>
    <mergeCell ref="A1140:B1140"/>
    <mergeCell ref="A1141:B1141"/>
    <mergeCell ref="A1139:B1139"/>
    <mergeCell ref="A1206:B1206"/>
    <mergeCell ref="A1163:B1163"/>
    <mergeCell ref="A1162:B1162"/>
    <mergeCell ref="A1183:B1183"/>
    <mergeCell ref="A1184:B1184"/>
    <mergeCell ref="C1051:C1069"/>
    <mergeCell ref="A1052:B1052"/>
    <mergeCell ref="A1053:B1053"/>
    <mergeCell ref="A1073:B1073"/>
    <mergeCell ref="A1074:B1074"/>
    <mergeCell ref="A1075:B1075"/>
    <mergeCell ref="A897:B897"/>
    <mergeCell ref="A898:B898"/>
    <mergeCell ref="A899:B899"/>
    <mergeCell ref="A943:B943"/>
    <mergeCell ref="C963:C981"/>
    <mergeCell ref="A965:B965"/>
    <mergeCell ref="A941:B941"/>
    <mergeCell ref="A942:B942"/>
    <mergeCell ref="A963:B963"/>
    <mergeCell ref="A964:B964"/>
    <mergeCell ref="A1095:B1095"/>
    <mergeCell ref="A1117:B1117"/>
    <mergeCell ref="A1096:B1096"/>
    <mergeCell ref="A1426:B1426"/>
    <mergeCell ref="A1427:B1427"/>
    <mergeCell ref="A1338:B1338"/>
    <mergeCell ref="A1293:B1293"/>
    <mergeCell ref="A1294:B1294"/>
    <mergeCell ref="A1205:B1205"/>
    <mergeCell ref="A1161:B1161"/>
    <mergeCell ref="A986:B986"/>
    <mergeCell ref="A987:B987"/>
    <mergeCell ref="A1008:B1008"/>
    <mergeCell ref="A1009:B1009"/>
    <mergeCell ref="A1029:B1029"/>
    <mergeCell ref="A1030:B1030"/>
    <mergeCell ref="C875:C893"/>
    <mergeCell ref="A876:B876"/>
    <mergeCell ref="A877:B877"/>
    <mergeCell ref="A810:B810"/>
    <mergeCell ref="C830:C848"/>
    <mergeCell ref="A831:B831"/>
    <mergeCell ref="A832:B832"/>
    <mergeCell ref="A852:C852"/>
    <mergeCell ref="A853:B853"/>
    <mergeCell ref="C853:C871"/>
    <mergeCell ref="A854:B854"/>
    <mergeCell ref="A855:B855"/>
    <mergeCell ref="A764:C764"/>
    <mergeCell ref="A765:B765"/>
    <mergeCell ref="C765:C783"/>
    <mergeCell ref="A766:B766"/>
    <mergeCell ref="A767:B767"/>
    <mergeCell ref="C786:C804"/>
    <mergeCell ref="A787:B787"/>
    <mergeCell ref="A788:B788"/>
    <mergeCell ref="A721:C721"/>
    <mergeCell ref="A722:B722"/>
    <mergeCell ref="C722:C740"/>
    <mergeCell ref="A723:B723"/>
    <mergeCell ref="A724:B724"/>
    <mergeCell ref="C743:C761"/>
    <mergeCell ref="A744:B744"/>
    <mergeCell ref="A745:B745"/>
    <mergeCell ref="A742:C742"/>
    <mergeCell ref="A743:B743"/>
    <mergeCell ref="A679:B679"/>
    <mergeCell ref="C679:C697"/>
    <mergeCell ref="A680:B680"/>
    <mergeCell ref="A681:B681"/>
    <mergeCell ref="C700:C718"/>
    <mergeCell ref="A701:B701"/>
    <mergeCell ref="A702:B702"/>
    <mergeCell ref="A699:C699"/>
    <mergeCell ref="A567:C567"/>
    <mergeCell ref="A700:B700"/>
    <mergeCell ref="C613:C631"/>
    <mergeCell ref="A614:B614"/>
    <mergeCell ref="A615:B615"/>
    <mergeCell ref="A634:C634"/>
    <mergeCell ref="A635:B635"/>
    <mergeCell ref="C635:C653"/>
    <mergeCell ref="A636:B636"/>
    <mergeCell ref="A637:B637"/>
    <mergeCell ref="A570:B570"/>
    <mergeCell ref="A589:C589"/>
    <mergeCell ref="A590:B590"/>
    <mergeCell ref="C590:C608"/>
    <mergeCell ref="A591:B591"/>
    <mergeCell ref="A592:B592"/>
    <mergeCell ref="A502:C502"/>
    <mergeCell ref="A503:B503"/>
    <mergeCell ref="C503:C521"/>
    <mergeCell ref="A504:B504"/>
    <mergeCell ref="A505:B505"/>
    <mergeCell ref="C525:C543"/>
    <mergeCell ref="A526:B526"/>
    <mergeCell ref="A527:B527"/>
    <mergeCell ref="A460:B460"/>
    <mergeCell ref="C460:C478"/>
    <mergeCell ref="A461:B461"/>
    <mergeCell ref="A462:B462"/>
    <mergeCell ref="C482:C500"/>
    <mergeCell ref="A483:B483"/>
    <mergeCell ref="A484:B484"/>
    <mergeCell ref="A481:C481"/>
    <mergeCell ref="A482:B482"/>
    <mergeCell ref="C439:C457"/>
    <mergeCell ref="A440:B440"/>
    <mergeCell ref="A441:B441"/>
    <mergeCell ref="A438:C438"/>
    <mergeCell ref="A439:B439"/>
    <mergeCell ref="A459:C459"/>
    <mergeCell ref="A372:C372"/>
    <mergeCell ref="A373:B373"/>
    <mergeCell ref="C373:C391"/>
    <mergeCell ref="A374:B374"/>
    <mergeCell ref="A375:B375"/>
    <mergeCell ref="A394:C394"/>
    <mergeCell ref="A349:C349"/>
    <mergeCell ref="A350:B350"/>
    <mergeCell ref="C350:C368"/>
    <mergeCell ref="A351:B351"/>
    <mergeCell ref="A352:B352"/>
    <mergeCell ref="C328:C346"/>
    <mergeCell ref="A329:B329"/>
    <mergeCell ref="A305:C305"/>
    <mergeCell ref="A306:B306"/>
    <mergeCell ref="C306:C324"/>
    <mergeCell ref="A307:B307"/>
    <mergeCell ref="A308:B308"/>
    <mergeCell ref="A330:B330"/>
    <mergeCell ref="A328:B328"/>
    <mergeCell ref="A263:B263"/>
    <mergeCell ref="C263:C281"/>
    <mergeCell ref="A264:B264"/>
    <mergeCell ref="A265:B265"/>
    <mergeCell ref="A285:B285"/>
    <mergeCell ref="C285:C303"/>
    <mergeCell ref="A286:B286"/>
    <mergeCell ref="A287:B287"/>
    <mergeCell ref="A198:C198"/>
    <mergeCell ref="A199:B199"/>
    <mergeCell ref="C199:C217"/>
    <mergeCell ref="A219:C219"/>
    <mergeCell ref="A220:B220"/>
    <mergeCell ref="C220:C238"/>
    <mergeCell ref="A221:B221"/>
    <mergeCell ref="A154:C154"/>
    <mergeCell ref="A155:B155"/>
    <mergeCell ref="C155:C173"/>
    <mergeCell ref="A176:C176"/>
    <mergeCell ref="A177:B177"/>
    <mergeCell ref="C177:C195"/>
    <mergeCell ref="A156:B156"/>
    <mergeCell ref="A157:B157"/>
    <mergeCell ref="A178:B178"/>
    <mergeCell ref="A179:B179"/>
    <mergeCell ref="A109:C109"/>
    <mergeCell ref="A110:B110"/>
    <mergeCell ref="C110:C128"/>
    <mergeCell ref="A111:B111"/>
    <mergeCell ref="A132:C132"/>
    <mergeCell ref="A133:B133"/>
    <mergeCell ref="C133:C151"/>
    <mergeCell ref="A112:B112"/>
    <mergeCell ref="A134:B134"/>
    <mergeCell ref="A135:B135"/>
    <mergeCell ref="A65:C65"/>
    <mergeCell ref="A66:B66"/>
    <mergeCell ref="C66:C84"/>
    <mergeCell ref="A67:B67"/>
    <mergeCell ref="A87:C87"/>
    <mergeCell ref="A88:B88"/>
    <mergeCell ref="C88:C106"/>
    <mergeCell ref="A89:B89"/>
    <mergeCell ref="A68:B68"/>
    <mergeCell ref="A90:B90"/>
    <mergeCell ref="A45:B45"/>
    <mergeCell ref="C45:C63"/>
    <mergeCell ref="A46:B46"/>
    <mergeCell ref="A47:B47"/>
    <mergeCell ref="A24:B24"/>
    <mergeCell ref="A25:B25"/>
    <mergeCell ref="A1185:B1185"/>
    <mergeCell ref="A919:B919"/>
    <mergeCell ref="A920:B920"/>
    <mergeCell ref="A921:B921"/>
    <mergeCell ref="A1031:B1031"/>
    <mergeCell ref="A1051:B1051"/>
    <mergeCell ref="A985:B985"/>
    <mergeCell ref="A1007:B1007"/>
    <mergeCell ref="A1097:B1097"/>
    <mergeCell ref="A1118:B1118"/>
    <mergeCell ref="A874:C874"/>
    <mergeCell ref="A875:B875"/>
    <mergeCell ref="A829:C829"/>
    <mergeCell ref="A830:B830"/>
    <mergeCell ref="A785:C785"/>
    <mergeCell ref="A786:B786"/>
    <mergeCell ref="A807:C807"/>
    <mergeCell ref="A808:B808"/>
    <mergeCell ref="C808:C826"/>
    <mergeCell ref="A809:B809"/>
    <mergeCell ref="A657:B657"/>
    <mergeCell ref="C657:C675"/>
    <mergeCell ref="A658:B658"/>
    <mergeCell ref="A659:B659"/>
    <mergeCell ref="A678:C678"/>
    <mergeCell ref="A612:C612"/>
    <mergeCell ref="A613:B613"/>
    <mergeCell ref="A656:C656"/>
    <mergeCell ref="A568:B568"/>
    <mergeCell ref="A524:C524"/>
    <mergeCell ref="A525:B525"/>
    <mergeCell ref="A545:C545"/>
    <mergeCell ref="A546:B546"/>
    <mergeCell ref="C546:C564"/>
    <mergeCell ref="A547:B547"/>
    <mergeCell ref="A548:B548"/>
    <mergeCell ref="C568:C586"/>
    <mergeCell ref="A569:B569"/>
    <mergeCell ref="A395:B395"/>
    <mergeCell ref="C395:C413"/>
    <mergeCell ref="A396:B396"/>
    <mergeCell ref="A397:B397"/>
    <mergeCell ref="A416:C416"/>
    <mergeCell ref="A417:B417"/>
    <mergeCell ref="C417:C435"/>
    <mergeCell ref="A418:B418"/>
    <mergeCell ref="A419:B419"/>
    <mergeCell ref="A244:B244"/>
    <mergeCell ref="A284:C284"/>
    <mergeCell ref="A200:B200"/>
    <mergeCell ref="A201:B201"/>
    <mergeCell ref="A222:B222"/>
    <mergeCell ref="A241:C241"/>
    <mergeCell ref="A242:B242"/>
    <mergeCell ref="C242:C260"/>
    <mergeCell ref="A243:B243"/>
    <mergeCell ref="A262:C262"/>
    <mergeCell ref="A1:C1"/>
    <mergeCell ref="C2:C20"/>
    <mergeCell ref="A4:B4"/>
    <mergeCell ref="A3:B3"/>
    <mergeCell ref="A2:B2"/>
    <mergeCell ref="A327:C327"/>
    <mergeCell ref="A22:C22"/>
    <mergeCell ref="A23:B23"/>
    <mergeCell ref="C23:C41"/>
    <mergeCell ref="A44:C44"/>
  </mergeCells>
  <conditionalFormatting sqref="B5:B7 B9 B11:B21">
    <cfRule type="cellIs" dxfId="187" priority="188" stopIfTrue="1" operator="equal">
      <formula>"Monthy       March 2009"</formula>
    </cfRule>
  </conditionalFormatting>
  <conditionalFormatting sqref="B26:B28 B30:B41">
    <cfRule type="cellIs" dxfId="186" priority="187" stopIfTrue="1" operator="equal">
      <formula>"Monthy       March 2009"</formula>
    </cfRule>
  </conditionalFormatting>
  <conditionalFormatting sqref="B48:B50 B52:B63">
    <cfRule type="cellIs" dxfId="185" priority="186" stopIfTrue="1" operator="equal">
      <formula>"Monthy       March 2009"</formula>
    </cfRule>
  </conditionalFormatting>
  <conditionalFormatting sqref="B69:B71 B73:B84">
    <cfRule type="cellIs" dxfId="184" priority="185" stopIfTrue="1" operator="equal">
      <formula>"Monthy       March 2009"</formula>
    </cfRule>
  </conditionalFormatting>
  <conditionalFormatting sqref="B91:B93 B95:B106">
    <cfRule type="cellIs" dxfId="183" priority="184" stopIfTrue="1" operator="equal">
      <formula>"Monthy       March 2009"</formula>
    </cfRule>
  </conditionalFormatting>
  <conditionalFormatting sqref="B113:B115 B117:B128">
    <cfRule type="cellIs" dxfId="182" priority="183" stopIfTrue="1" operator="equal">
      <formula>"Monthy       March 2009"</formula>
    </cfRule>
  </conditionalFormatting>
  <conditionalFormatting sqref="B136:B138 B140:B151">
    <cfRule type="cellIs" dxfId="181" priority="182" stopIfTrue="1" operator="equal">
      <formula>"Monthy       March 2009"</formula>
    </cfRule>
  </conditionalFormatting>
  <conditionalFormatting sqref="B158:B160 B163:B173">
    <cfRule type="cellIs" dxfId="180" priority="181" stopIfTrue="1" operator="equal">
      <formula>"Monthy       March 2009"</formula>
    </cfRule>
  </conditionalFormatting>
  <conditionalFormatting sqref="B180:B182 B184:B195">
    <cfRule type="cellIs" dxfId="179" priority="180" stopIfTrue="1" operator="equal">
      <formula>"Monthy       March 2009"</formula>
    </cfRule>
  </conditionalFormatting>
  <conditionalFormatting sqref="B202:B204 B206:B217">
    <cfRule type="cellIs" dxfId="178" priority="179" stopIfTrue="1" operator="equal">
      <formula>"Monthy       March 2009"</formula>
    </cfRule>
  </conditionalFormatting>
  <conditionalFormatting sqref="B223:B225 B227:B238">
    <cfRule type="cellIs" dxfId="177" priority="178" stopIfTrue="1" operator="equal">
      <formula>"Monthy       March 2009"</formula>
    </cfRule>
  </conditionalFormatting>
  <conditionalFormatting sqref="B245:B247 B249:B261">
    <cfRule type="cellIs" dxfId="176" priority="177" stopIfTrue="1" operator="equal">
      <formula>"Monthy       March 2009"</formula>
    </cfRule>
  </conditionalFormatting>
  <conditionalFormatting sqref="B266:B268 B270:B281">
    <cfRule type="cellIs" dxfId="175" priority="176" stopIfTrue="1" operator="equal">
      <formula>"Monthy       March 2009"</formula>
    </cfRule>
  </conditionalFormatting>
  <conditionalFormatting sqref="B288:B290 B292:B303">
    <cfRule type="cellIs" dxfId="174" priority="175" stopIfTrue="1" operator="equal">
      <formula>"Monthy       March 2009"</formula>
    </cfRule>
  </conditionalFormatting>
  <conditionalFormatting sqref="B309:B311 B313:B324">
    <cfRule type="cellIs" dxfId="173" priority="174" stopIfTrue="1" operator="equal">
      <formula>"Monthy       March 2009"</formula>
    </cfRule>
  </conditionalFormatting>
  <conditionalFormatting sqref="B331:B332 B335:B346">
    <cfRule type="cellIs" dxfId="172" priority="173" stopIfTrue="1" operator="equal">
      <formula>"Monthy       March 2009"</formula>
    </cfRule>
  </conditionalFormatting>
  <conditionalFormatting sqref="B353:B355 B357:B368">
    <cfRule type="cellIs" dxfId="171" priority="172" stopIfTrue="1" operator="equal">
      <formula>"Monthy       March 2009"</formula>
    </cfRule>
  </conditionalFormatting>
  <conditionalFormatting sqref="B376:B378 B380:B391">
    <cfRule type="cellIs" dxfId="170" priority="171" stopIfTrue="1" operator="equal">
      <formula>"Monthy       March 2009"</formula>
    </cfRule>
  </conditionalFormatting>
  <conditionalFormatting sqref="B398:B400 B402:B413">
    <cfRule type="cellIs" dxfId="169" priority="170" stopIfTrue="1" operator="equal">
      <formula>"Monthy       March 2009"</formula>
    </cfRule>
  </conditionalFormatting>
  <conditionalFormatting sqref="B420:B422 B424:B435">
    <cfRule type="cellIs" dxfId="168" priority="169" stopIfTrue="1" operator="equal">
      <formula>"Monthy       March 2009"</formula>
    </cfRule>
  </conditionalFormatting>
  <conditionalFormatting sqref="B442:B444 B446:B457">
    <cfRule type="cellIs" dxfId="167" priority="168" stopIfTrue="1" operator="equal">
      <formula>"Monthy       March 2009"</formula>
    </cfRule>
  </conditionalFormatting>
  <conditionalFormatting sqref="B463:B465 B467:B478">
    <cfRule type="cellIs" dxfId="166" priority="167" stopIfTrue="1" operator="equal">
      <formula>"Monthy       March 2009"</formula>
    </cfRule>
  </conditionalFormatting>
  <conditionalFormatting sqref="B485:B487 B489:B501">
    <cfRule type="cellIs" dxfId="165" priority="166" stopIfTrue="1" operator="equal">
      <formula>"Monthy       March 2009"</formula>
    </cfRule>
  </conditionalFormatting>
  <conditionalFormatting sqref="B506:B508 B510:B521">
    <cfRule type="cellIs" dxfId="164" priority="165" stopIfTrue="1" operator="equal">
      <formula>"Monthy       March 2009"</formula>
    </cfRule>
  </conditionalFormatting>
  <conditionalFormatting sqref="B528:B530 B532:B543">
    <cfRule type="cellIs" dxfId="163" priority="164" stopIfTrue="1" operator="equal">
      <formula>"Monthy       March 2009"</formula>
    </cfRule>
  </conditionalFormatting>
  <conditionalFormatting sqref="B549:B551 B553:B564">
    <cfRule type="cellIs" dxfId="162" priority="163" stopIfTrue="1" operator="equal">
      <formula>"Monthy       March 2009"</formula>
    </cfRule>
  </conditionalFormatting>
  <conditionalFormatting sqref="B571:B573 B575:B586">
    <cfRule type="cellIs" dxfId="161" priority="162" stopIfTrue="1" operator="equal">
      <formula>"Monthy       March 2009"</formula>
    </cfRule>
  </conditionalFormatting>
  <conditionalFormatting sqref="B593:B595 B597:B608">
    <cfRule type="cellIs" dxfId="160" priority="161" stopIfTrue="1" operator="equal">
      <formula>"Monthy       March 2009"</formula>
    </cfRule>
  </conditionalFormatting>
  <conditionalFormatting sqref="B616:B618 B620:B631">
    <cfRule type="cellIs" dxfId="159" priority="160" stopIfTrue="1" operator="equal">
      <formula>"Monthy       March 2009"</formula>
    </cfRule>
  </conditionalFormatting>
  <conditionalFormatting sqref="B638:B640 B642:B653">
    <cfRule type="cellIs" dxfId="158" priority="159" stopIfTrue="1" operator="equal">
      <formula>"Monthy       March 2009"</formula>
    </cfRule>
  </conditionalFormatting>
  <conditionalFormatting sqref="B660:B662 B664:B675">
    <cfRule type="cellIs" dxfId="157" priority="158" stopIfTrue="1" operator="equal">
      <formula>"Monthy       March 2009"</formula>
    </cfRule>
  </conditionalFormatting>
  <conditionalFormatting sqref="B682:B684 B686:B689 B691:B697">
    <cfRule type="cellIs" dxfId="156" priority="157" stopIfTrue="1" operator="equal">
      <formula>"Monthy       March 2009"</formula>
    </cfRule>
  </conditionalFormatting>
  <conditionalFormatting sqref="B703:B705 B707:B718">
    <cfRule type="cellIs" dxfId="155" priority="156" stopIfTrue="1" operator="equal">
      <formula>"Monthy       March 2009"</formula>
    </cfRule>
  </conditionalFormatting>
  <conditionalFormatting sqref="B725:B727 B729:B741">
    <cfRule type="cellIs" dxfId="154" priority="155" stopIfTrue="1" operator="equal">
      <formula>"Monthy       March 2009"</formula>
    </cfRule>
  </conditionalFormatting>
  <conditionalFormatting sqref="B746:B748 B750:B761">
    <cfRule type="cellIs" dxfId="153" priority="154" stopIfTrue="1" operator="equal">
      <formula>"Monthy       March 2009"</formula>
    </cfRule>
  </conditionalFormatting>
  <conditionalFormatting sqref="B768:B770 B772:B783">
    <cfRule type="cellIs" dxfId="152" priority="153" stopIfTrue="1" operator="equal">
      <formula>"Monthy       March 2009"</formula>
    </cfRule>
  </conditionalFormatting>
  <conditionalFormatting sqref="B789:B791 B793:B804">
    <cfRule type="cellIs" dxfId="151" priority="152" stopIfTrue="1" operator="equal">
      <formula>"Monthy       March 2009"</formula>
    </cfRule>
  </conditionalFormatting>
  <conditionalFormatting sqref="B811:B813 B815:B826">
    <cfRule type="cellIs" dxfId="150" priority="151" stopIfTrue="1" operator="equal">
      <formula>"Monthy       March 2009"</formula>
    </cfRule>
  </conditionalFormatting>
  <conditionalFormatting sqref="B833:B835 B837:B848">
    <cfRule type="cellIs" dxfId="149" priority="150" stopIfTrue="1" operator="equal">
      <formula>"Monthy       March 2009"</formula>
    </cfRule>
  </conditionalFormatting>
  <conditionalFormatting sqref="B856:B858 B860:B871">
    <cfRule type="cellIs" dxfId="148" priority="149" stopIfTrue="1" operator="equal">
      <formula>"Monthy       March 2009"</formula>
    </cfRule>
  </conditionalFormatting>
  <conditionalFormatting sqref="B878:B880 B883:B893">
    <cfRule type="cellIs" dxfId="147" priority="148" stopIfTrue="1" operator="equal">
      <formula>"Monthy       March 2009"</formula>
    </cfRule>
  </conditionalFormatting>
  <conditionalFormatting sqref="B162">
    <cfRule type="cellIs" dxfId="146" priority="147" stopIfTrue="1" operator="equal">
      <formula>"Monthy       March 2009"</formula>
    </cfRule>
  </conditionalFormatting>
  <conditionalFormatting sqref="B333">
    <cfRule type="cellIs" dxfId="145" priority="146" stopIfTrue="1" operator="equal">
      <formula>"Monthy       March 2009"</formula>
    </cfRule>
  </conditionalFormatting>
  <conditionalFormatting sqref="B10">
    <cfRule type="cellIs" dxfId="144" priority="145" stopIfTrue="1" operator="equal">
      <formula>"Monthy       March 2009"</formula>
    </cfRule>
  </conditionalFormatting>
  <conditionalFormatting sqref="B690">
    <cfRule type="cellIs" dxfId="143" priority="144" stopIfTrue="1" operator="equal">
      <formula>"Monthy       March 2009"</formula>
    </cfRule>
  </conditionalFormatting>
  <conditionalFormatting sqref="B882">
    <cfRule type="cellIs" dxfId="142" priority="143" stopIfTrue="1" operator="equal">
      <formula>"Monthy       March 2009"</formula>
    </cfRule>
  </conditionalFormatting>
  <conditionalFormatting sqref="B2444">
    <cfRule type="cellIs" dxfId="141" priority="1" stopIfTrue="1" operator="equal">
      <formula>"Monthy       March 2009"</formula>
    </cfRule>
  </conditionalFormatting>
  <conditionalFormatting sqref="B900:B902 B905:B914">
    <cfRule type="cellIs" dxfId="140" priority="142" stopIfTrue="1" operator="equal">
      <formula>"Monthy       March 2009"</formula>
    </cfRule>
  </conditionalFormatting>
  <conditionalFormatting sqref="B904">
    <cfRule type="cellIs" dxfId="139" priority="141" stopIfTrue="1" operator="equal">
      <formula>"Monthy       March 2009"</formula>
    </cfRule>
  </conditionalFormatting>
  <conditionalFormatting sqref="B922:B924 B927:B936">
    <cfRule type="cellIs" dxfId="138" priority="140" stopIfTrue="1" operator="equal">
      <formula>"Monthy       March 2009"</formula>
    </cfRule>
  </conditionalFormatting>
  <conditionalFormatting sqref="B926">
    <cfRule type="cellIs" dxfId="137" priority="139" stopIfTrue="1" operator="equal">
      <formula>"Monthy       March 2009"</formula>
    </cfRule>
  </conditionalFormatting>
  <conditionalFormatting sqref="B944:B946 B949:B958">
    <cfRule type="cellIs" dxfId="136" priority="138" stopIfTrue="1" operator="equal">
      <formula>"Monthy       March 2009"</formula>
    </cfRule>
  </conditionalFormatting>
  <conditionalFormatting sqref="B948">
    <cfRule type="cellIs" dxfId="135" priority="137" stopIfTrue="1" operator="equal">
      <formula>"Monthy       March 2009"</formula>
    </cfRule>
  </conditionalFormatting>
  <conditionalFormatting sqref="B966:B968 B971:B981">
    <cfRule type="cellIs" dxfId="134" priority="136" stopIfTrue="1" operator="equal">
      <formula>"Monthy       March 2009"</formula>
    </cfRule>
  </conditionalFormatting>
  <conditionalFormatting sqref="B970">
    <cfRule type="cellIs" dxfId="133" priority="135" stopIfTrue="1" operator="equal">
      <formula>"Monthy       March 2009"</formula>
    </cfRule>
  </conditionalFormatting>
  <conditionalFormatting sqref="B988:B990 B993:B1002">
    <cfRule type="cellIs" dxfId="132" priority="134" stopIfTrue="1" operator="equal">
      <formula>"Monthy       March 2009"</formula>
    </cfRule>
  </conditionalFormatting>
  <conditionalFormatting sqref="B992">
    <cfRule type="cellIs" dxfId="131" priority="133" stopIfTrue="1" operator="equal">
      <formula>"Monthy       March 2009"</formula>
    </cfRule>
  </conditionalFormatting>
  <conditionalFormatting sqref="B1010:B1012 B1015:B1024">
    <cfRule type="cellIs" dxfId="130" priority="132" stopIfTrue="1" operator="equal">
      <formula>"Monthy       March 2009"</formula>
    </cfRule>
  </conditionalFormatting>
  <conditionalFormatting sqref="B1014">
    <cfRule type="cellIs" dxfId="129" priority="131" stopIfTrue="1" operator="equal">
      <formula>"Monthy       March 2009"</formula>
    </cfRule>
  </conditionalFormatting>
  <conditionalFormatting sqref="B1032:B1034 B1037:B1046">
    <cfRule type="cellIs" dxfId="128" priority="130" stopIfTrue="1" operator="equal">
      <formula>"Monthy       March 2009"</formula>
    </cfRule>
  </conditionalFormatting>
  <conditionalFormatting sqref="B1036">
    <cfRule type="cellIs" dxfId="127" priority="129" stopIfTrue="1" operator="equal">
      <formula>"Monthy       March 2009"</formula>
    </cfRule>
  </conditionalFormatting>
  <conditionalFormatting sqref="B1054:B1056 B1059:B1069">
    <cfRule type="cellIs" dxfId="126" priority="128" stopIfTrue="1" operator="equal">
      <formula>"Monthy       March 2009"</formula>
    </cfRule>
  </conditionalFormatting>
  <conditionalFormatting sqref="B1058">
    <cfRule type="cellIs" dxfId="125" priority="127" stopIfTrue="1" operator="equal">
      <formula>"Monthy       March 2009"</formula>
    </cfRule>
  </conditionalFormatting>
  <conditionalFormatting sqref="B1076:B1078 B1081:B1090">
    <cfRule type="cellIs" dxfId="124" priority="126" stopIfTrue="1" operator="equal">
      <formula>"Monthy       March 2009"</formula>
    </cfRule>
  </conditionalFormatting>
  <conditionalFormatting sqref="B1080">
    <cfRule type="cellIs" dxfId="123" priority="125" stopIfTrue="1" operator="equal">
      <formula>"Monthy       March 2009"</formula>
    </cfRule>
  </conditionalFormatting>
  <conditionalFormatting sqref="B1098:B1100 B1103:B1112">
    <cfRule type="cellIs" dxfId="122" priority="124" stopIfTrue="1" operator="equal">
      <formula>"Monthy       March 2009"</formula>
    </cfRule>
  </conditionalFormatting>
  <conditionalFormatting sqref="B1102">
    <cfRule type="cellIs" dxfId="121" priority="123" stopIfTrue="1" operator="equal">
      <formula>"Monthy       March 2009"</formula>
    </cfRule>
  </conditionalFormatting>
  <conditionalFormatting sqref="B1120:B1122 B1125:B1134">
    <cfRule type="cellIs" dxfId="120" priority="122" stopIfTrue="1" operator="equal">
      <formula>"Monthy       March 2009"</formula>
    </cfRule>
  </conditionalFormatting>
  <conditionalFormatting sqref="B1124">
    <cfRule type="cellIs" dxfId="119" priority="121" stopIfTrue="1" operator="equal">
      <formula>"Monthy       March 2009"</formula>
    </cfRule>
  </conditionalFormatting>
  <conditionalFormatting sqref="B1142:B1144 B1147:B1157">
    <cfRule type="cellIs" dxfId="118" priority="120" stopIfTrue="1" operator="equal">
      <formula>"Monthy       March 2009"</formula>
    </cfRule>
  </conditionalFormatting>
  <conditionalFormatting sqref="B1146">
    <cfRule type="cellIs" dxfId="117" priority="119" stopIfTrue="1" operator="equal">
      <formula>"Monthy       March 2009"</formula>
    </cfRule>
  </conditionalFormatting>
  <conditionalFormatting sqref="B1164:B1166 B1169:B1178">
    <cfRule type="cellIs" dxfId="116" priority="118" stopIfTrue="1" operator="equal">
      <formula>"Monthy       March 2009"</formula>
    </cfRule>
  </conditionalFormatting>
  <conditionalFormatting sqref="B1168">
    <cfRule type="cellIs" dxfId="115" priority="117" stopIfTrue="1" operator="equal">
      <formula>"Monthy       March 2009"</formula>
    </cfRule>
  </conditionalFormatting>
  <conditionalFormatting sqref="B1186:B1188 B1191:B1200">
    <cfRule type="cellIs" dxfId="114" priority="116" stopIfTrue="1" operator="equal">
      <formula>"Monthy       March 2009"</formula>
    </cfRule>
  </conditionalFormatting>
  <conditionalFormatting sqref="B1190">
    <cfRule type="cellIs" dxfId="113" priority="115" stopIfTrue="1" operator="equal">
      <formula>"Monthy       March 2009"</formula>
    </cfRule>
  </conditionalFormatting>
  <conditionalFormatting sqref="B1208:B1210 B1213:B1222">
    <cfRule type="cellIs" dxfId="112" priority="114" stopIfTrue="1" operator="equal">
      <formula>"Monthy       March 2009"</formula>
    </cfRule>
  </conditionalFormatting>
  <conditionalFormatting sqref="B1212">
    <cfRule type="cellIs" dxfId="111" priority="113" stopIfTrue="1" operator="equal">
      <formula>"Monthy       March 2009"</formula>
    </cfRule>
  </conditionalFormatting>
  <conditionalFormatting sqref="B1230:B1232 B1235:B1245">
    <cfRule type="cellIs" dxfId="110" priority="112" stopIfTrue="1" operator="equal">
      <formula>"Monthy       March 2009"</formula>
    </cfRule>
  </conditionalFormatting>
  <conditionalFormatting sqref="B1234">
    <cfRule type="cellIs" dxfId="109" priority="111" stopIfTrue="1" operator="equal">
      <formula>"Monthy       March 2009"</formula>
    </cfRule>
  </conditionalFormatting>
  <conditionalFormatting sqref="B1252:B1254 B1257:B1266">
    <cfRule type="cellIs" dxfId="108" priority="110" stopIfTrue="1" operator="equal">
      <formula>"Monthy       March 2009"</formula>
    </cfRule>
  </conditionalFormatting>
  <conditionalFormatting sqref="B1256">
    <cfRule type="cellIs" dxfId="107" priority="109" stopIfTrue="1" operator="equal">
      <formula>"Monthy       March 2009"</formula>
    </cfRule>
  </conditionalFormatting>
  <conditionalFormatting sqref="B1274:B1276 B1279:B1288">
    <cfRule type="cellIs" dxfId="106" priority="108" stopIfTrue="1" operator="equal">
      <formula>"Monthy       March 2009"</formula>
    </cfRule>
  </conditionalFormatting>
  <conditionalFormatting sqref="B1278">
    <cfRule type="cellIs" dxfId="105" priority="107" stopIfTrue="1" operator="equal">
      <formula>"Monthy       March 2009"</formula>
    </cfRule>
  </conditionalFormatting>
  <conditionalFormatting sqref="B1296:B1298 B1301:B1310">
    <cfRule type="cellIs" dxfId="104" priority="106" stopIfTrue="1" operator="equal">
      <formula>"Monthy       March 2009"</formula>
    </cfRule>
  </conditionalFormatting>
  <conditionalFormatting sqref="B1300">
    <cfRule type="cellIs" dxfId="103" priority="105" stopIfTrue="1" operator="equal">
      <formula>"Monthy       March 2009"</formula>
    </cfRule>
  </conditionalFormatting>
  <conditionalFormatting sqref="B1318:B1320 B1323:B1333">
    <cfRule type="cellIs" dxfId="102" priority="104" stopIfTrue="1" operator="equal">
      <formula>"Monthy       March 2009"</formula>
    </cfRule>
  </conditionalFormatting>
  <conditionalFormatting sqref="B1322">
    <cfRule type="cellIs" dxfId="101" priority="103" stopIfTrue="1" operator="equal">
      <formula>"Monthy       March 2009"</formula>
    </cfRule>
  </conditionalFormatting>
  <conditionalFormatting sqref="B1340:B1342 B1345:B1354">
    <cfRule type="cellIs" dxfId="100" priority="102" stopIfTrue="1" operator="equal">
      <formula>"Monthy       March 2009"</formula>
    </cfRule>
  </conditionalFormatting>
  <conditionalFormatting sqref="B1344">
    <cfRule type="cellIs" dxfId="99" priority="101" stopIfTrue="1" operator="equal">
      <formula>"Monthy       March 2009"</formula>
    </cfRule>
  </conditionalFormatting>
  <conditionalFormatting sqref="B1362:B1364 B1367:B1376">
    <cfRule type="cellIs" dxfId="98" priority="100" stopIfTrue="1" operator="equal">
      <formula>"Monthy       March 2009"</formula>
    </cfRule>
  </conditionalFormatting>
  <conditionalFormatting sqref="B1366">
    <cfRule type="cellIs" dxfId="97" priority="99" stopIfTrue="1" operator="equal">
      <formula>"Monthy       March 2009"</formula>
    </cfRule>
  </conditionalFormatting>
  <conditionalFormatting sqref="B1384:B1386 B1389:B1398">
    <cfRule type="cellIs" dxfId="96" priority="98" stopIfTrue="1" operator="equal">
      <formula>"Monthy       March 2009"</formula>
    </cfRule>
  </conditionalFormatting>
  <conditionalFormatting sqref="B1388">
    <cfRule type="cellIs" dxfId="95" priority="97" stopIfTrue="1" operator="equal">
      <formula>"Monthy       March 2009"</formula>
    </cfRule>
  </conditionalFormatting>
  <conditionalFormatting sqref="B1406:B1408 B1411:B1421">
    <cfRule type="cellIs" dxfId="94" priority="96" stopIfTrue="1" operator="equal">
      <formula>"Monthy       March 2009"</formula>
    </cfRule>
  </conditionalFormatting>
  <conditionalFormatting sqref="B1410">
    <cfRule type="cellIs" dxfId="93" priority="95" stopIfTrue="1" operator="equal">
      <formula>"Monthy       March 2009"</formula>
    </cfRule>
  </conditionalFormatting>
  <conditionalFormatting sqref="B1428:B1430 B1433:B1442">
    <cfRule type="cellIs" dxfId="92" priority="94" stopIfTrue="1" operator="equal">
      <formula>"Monthy       March 2009"</formula>
    </cfRule>
  </conditionalFormatting>
  <conditionalFormatting sqref="B1432">
    <cfRule type="cellIs" dxfId="91" priority="93" stopIfTrue="1" operator="equal">
      <formula>"Monthy       March 2009"</formula>
    </cfRule>
  </conditionalFormatting>
  <conditionalFormatting sqref="B1450:B1452 B1455:B1464">
    <cfRule type="cellIs" dxfId="90" priority="92" stopIfTrue="1" operator="equal">
      <formula>"Monthy       March 2009"</formula>
    </cfRule>
  </conditionalFormatting>
  <conditionalFormatting sqref="B1454">
    <cfRule type="cellIs" dxfId="89" priority="91" stopIfTrue="1" operator="equal">
      <formula>"Monthy       March 2009"</formula>
    </cfRule>
  </conditionalFormatting>
  <conditionalFormatting sqref="B1472:B1474 B1477:B1486">
    <cfRule type="cellIs" dxfId="88" priority="90" stopIfTrue="1" operator="equal">
      <formula>"Monthy       March 2009"</formula>
    </cfRule>
  </conditionalFormatting>
  <conditionalFormatting sqref="B1476">
    <cfRule type="cellIs" dxfId="87" priority="89" stopIfTrue="1" operator="equal">
      <formula>"Monthy       March 2009"</formula>
    </cfRule>
  </conditionalFormatting>
  <conditionalFormatting sqref="B1494:B1496 B1499:B1509">
    <cfRule type="cellIs" dxfId="86" priority="88" stopIfTrue="1" operator="equal">
      <formula>"Monthy       March 2009"</formula>
    </cfRule>
  </conditionalFormatting>
  <conditionalFormatting sqref="B1498">
    <cfRule type="cellIs" dxfId="85" priority="87" stopIfTrue="1" operator="equal">
      <formula>"Monthy       March 2009"</formula>
    </cfRule>
  </conditionalFormatting>
  <conditionalFormatting sqref="B1516:B1518 B1521:B1530">
    <cfRule type="cellIs" dxfId="84" priority="86" stopIfTrue="1" operator="equal">
      <formula>"Monthy       March 2009"</formula>
    </cfRule>
  </conditionalFormatting>
  <conditionalFormatting sqref="B1520">
    <cfRule type="cellIs" dxfId="83" priority="85" stopIfTrue="1" operator="equal">
      <formula>"Monthy       March 2009"</formula>
    </cfRule>
  </conditionalFormatting>
  <conditionalFormatting sqref="B1538:B1540 B1543:B1552">
    <cfRule type="cellIs" dxfId="82" priority="84" stopIfTrue="1" operator="equal">
      <formula>"Monthy       March 2009"</formula>
    </cfRule>
  </conditionalFormatting>
  <conditionalFormatting sqref="B1542">
    <cfRule type="cellIs" dxfId="81" priority="83" stopIfTrue="1" operator="equal">
      <formula>"Monthy       March 2009"</formula>
    </cfRule>
  </conditionalFormatting>
  <conditionalFormatting sqref="B1560:B1562 B1565:B1574">
    <cfRule type="cellIs" dxfId="80" priority="82" stopIfTrue="1" operator="equal">
      <formula>"Monthy       March 2009"</formula>
    </cfRule>
  </conditionalFormatting>
  <conditionalFormatting sqref="B1564">
    <cfRule type="cellIs" dxfId="79" priority="81" stopIfTrue="1" operator="equal">
      <formula>"Monthy       March 2009"</formula>
    </cfRule>
  </conditionalFormatting>
  <conditionalFormatting sqref="B1582:B1584 B1587:B1597">
    <cfRule type="cellIs" dxfId="78" priority="80" stopIfTrue="1" operator="equal">
      <formula>"Monthy       March 2009"</formula>
    </cfRule>
  </conditionalFormatting>
  <conditionalFormatting sqref="B1586">
    <cfRule type="cellIs" dxfId="77" priority="79" stopIfTrue="1" operator="equal">
      <formula>"Monthy       March 2009"</formula>
    </cfRule>
  </conditionalFormatting>
  <conditionalFormatting sqref="B1604:B1606 B1609:B1618">
    <cfRule type="cellIs" dxfId="76" priority="78" stopIfTrue="1" operator="equal">
      <formula>"Monthy       March 2009"</formula>
    </cfRule>
  </conditionalFormatting>
  <conditionalFormatting sqref="B1608">
    <cfRule type="cellIs" dxfId="75" priority="77" stopIfTrue="1" operator="equal">
      <formula>"Monthy       March 2009"</formula>
    </cfRule>
  </conditionalFormatting>
  <conditionalFormatting sqref="B1626:B1628 B1631:B1640">
    <cfRule type="cellIs" dxfId="74" priority="76" stopIfTrue="1" operator="equal">
      <formula>"Monthy       March 2009"</formula>
    </cfRule>
  </conditionalFormatting>
  <conditionalFormatting sqref="B1630">
    <cfRule type="cellIs" dxfId="73" priority="75" stopIfTrue="1" operator="equal">
      <formula>"Monthy       March 2009"</formula>
    </cfRule>
  </conditionalFormatting>
  <conditionalFormatting sqref="B1648:B1650 B1653:B1662">
    <cfRule type="cellIs" dxfId="72" priority="74" stopIfTrue="1" operator="equal">
      <formula>"Monthy       March 2009"</formula>
    </cfRule>
  </conditionalFormatting>
  <conditionalFormatting sqref="B1652">
    <cfRule type="cellIs" dxfId="71" priority="73" stopIfTrue="1" operator="equal">
      <formula>"Monthy       March 2009"</formula>
    </cfRule>
  </conditionalFormatting>
  <conditionalFormatting sqref="B1670:B1672 B1675:B1685">
    <cfRule type="cellIs" dxfId="70" priority="72" stopIfTrue="1" operator="equal">
      <formula>"Monthy       March 2009"</formula>
    </cfRule>
  </conditionalFormatting>
  <conditionalFormatting sqref="B1674">
    <cfRule type="cellIs" dxfId="69" priority="71" stopIfTrue="1" operator="equal">
      <formula>"Monthy       March 2009"</formula>
    </cfRule>
  </conditionalFormatting>
  <conditionalFormatting sqref="B1692:B1694 B1697:B1706">
    <cfRule type="cellIs" dxfId="68" priority="70" stopIfTrue="1" operator="equal">
      <formula>"Monthy       March 2009"</formula>
    </cfRule>
  </conditionalFormatting>
  <conditionalFormatting sqref="B1696">
    <cfRule type="cellIs" dxfId="67" priority="69" stopIfTrue="1" operator="equal">
      <formula>"Monthy       March 2009"</formula>
    </cfRule>
  </conditionalFormatting>
  <conditionalFormatting sqref="B1714:B1716 B1719:B1728">
    <cfRule type="cellIs" dxfId="66" priority="68" stopIfTrue="1" operator="equal">
      <formula>"Monthy       March 2009"</formula>
    </cfRule>
  </conditionalFormatting>
  <conditionalFormatting sqref="B1718">
    <cfRule type="cellIs" dxfId="65" priority="67" stopIfTrue="1" operator="equal">
      <formula>"Monthy       March 2009"</formula>
    </cfRule>
  </conditionalFormatting>
  <conditionalFormatting sqref="B1736:B1738 B1741:B1750">
    <cfRule type="cellIs" dxfId="64" priority="66" stopIfTrue="1" operator="equal">
      <formula>"Monthy       March 2009"</formula>
    </cfRule>
  </conditionalFormatting>
  <conditionalFormatting sqref="B1740">
    <cfRule type="cellIs" dxfId="63" priority="65" stopIfTrue="1" operator="equal">
      <formula>"Monthy       March 2009"</formula>
    </cfRule>
  </conditionalFormatting>
  <conditionalFormatting sqref="B1758:B1760 B1763:B1773">
    <cfRule type="cellIs" dxfId="62" priority="64" stopIfTrue="1" operator="equal">
      <formula>"Monthy       March 2009"</formula>
    </cfRule>
  </conditionalFormatting>
  <conditionalFormatting sqref="B1762">
    <cfRule type="cellIs" dxfId="61" priority="63" stopIfTrue="1" operator="equal">
      <formula>"Monthy       March 2009"</formula>
    </cfRule>
  </conditionalFormatting>
  <conditionalFormatting sqref="B1780:B1782 B1785:B1794">
    <cfRule type="cellIs" dxfId="60" priority="62" stopIfTrue="1" operator="equal">
      <formula>"Monthy       March 2009"</formula>
    </cfRule>
  </conditionalFormatting>
  <conditionalFormatting sqref="B1784">
    <cfRule type="cellIs" dxfId="59" priority="61" stopIfTrue="1" operator="equal">
      <formula>"Monthy       March 2009"</formula>
    </cfRule>
  </conditionalFormatting>
  <conditionalFormatting sqref="B1802:B1804 B1807:B1816">
    <cfRule type="cellIs" dxfId="58" priority="60" stopIfTrue="1" operator="equal">
      <formula>"Monthy       March 2009"</formula>
    </cfRule>
  </conditionalFormatting>
  <conditionalFormatting sqref="B1806">
    <cfRule type="cellIs" dxfId="57" priority="59" stopIfTrue="1" operator="equal">
      <formula>"Monthy       March 2009"</formula>
    </cfRule>
  </conditionalFormatting>
  <conditionalFormatting sqref="B1824:B1826 B1829:B1838">
    <cfRule type="cellIs" dxfId="56" priority="58" stopIfTrue="1" operator="equal">
      <formula>"Monthy       March 2009"</formula>
    </cfRule>
  </conditionalFormatting>
  <conditionalFormatting sqref="B1828">
    <cfRule type="cellIs" dxfId="55" priority="57" stopIfTrue="1" operator="equal">
      <formula>"Monthy       March 2009"</formula>
    </cfRule>
  </conditionalFormatting>
  <conditionalFormatting sqref="B1846:B1848 B1851:B1861">
    <cfRule type="cellIs" dxfId="54" priority="56" stopIfTrue="1" operator="equal">
      <formula>"Monthy       March 2009"</formula>
    </cfRule>
  </conditionalFormatting>
  <conditionalFormatting sqref="B1850">
    <cfRule type="cellIs" dxfId="53" priority="55" stopIfTrue="1" operator="equal">
      <formula>"Monthy       March 2009"</formula>
    </cfRule>
  </conditionalFormatting>
  <conditionalFormatting sqref="B1868:B1870 B1873:B1882">
    <cfRule type="cellIs" dxfId="52" priority="54" stopIfTrue="1" operator="equal">
      <formula>"Monthy       March 2009"</formula>
    </cfRule>
  </conditionalFormatting>
  <conditionalFormatting sqref="B1872">
    <cfRule type="cellIs" dxfId="51" priority="53" stopIfTrue="1" operator="equal">
      <formula>"Monthy       March 2009"</formula>
    </cfRule>
  </conditionalFormatting>
  <conditionalFormatting sqref="B1890:B1892 B1895:B1904">
    <cfRule type="cellIs" dxfId="50" priority="52" stopIfTrue="1" operator="equal">
      <formula>"Monthy       March 2009"</formula>
    </cfRule>
  </conditionalFormatting>
  <conditionalFormatting sqref="B1894">
    <cfRule type="cellIs" dxfId="49" priority="51" stopIfTrue="1" operator="equal">
      <formula>"Monthy       March 2009"</formula>
    </cfRule>
  </conditionalFormatting>
  <conditionalFormatting sqref="B1912:B1914 B1917:B1926">
    <cfRule type="cellIs" dxfId="48" priority="50" stopIfTrue="1" operator="equal">
      <formula>"Monthy       March 2009"</formula>
    </cfRule>
  </conditionalFormatting>
  <conditionalFormatting sqref="B1916">
    <cfRule type="cellIs" dxfId="47" priority="49" stopIfTrue="1" operator="equal">
      <formula>"Monthy       March 2009"</formula>
    </cfRule>
  </conditionalFormatting>
  <conditionalFormatting sqref="B1934:B1936 B1939:B1949">
    <cfRule type="cellIs" dxfId="46" priority="48" stopIfTrue="1" operator="equal">
      <formula>"Monthy       March 2009"</formula>
    </cfRule>
  </conditionalFormatting>
  <conditionalFormatting sqref="B1938">
    <cfRule type="cellIs" dxfId="45" priority="47" stopIfTrue="1" operator="equal">
      <formula>"Monthy       March 2009"</formula>
    </cfRule>
  </conditionalFormatting>
  <conditionalFormatting sqref="B1956:B1958 B1961:B1970">
    <cfRule type="cellIs" dxfId="44" priority="46" stopIfTrue="1" operator="equal">
      <formula>"Monthy       March 2009"</formula>
    </cfRule>
  </conditionalFormatting>
  <conditionalFormatting sqref="B1960">
    <cfRule type="cellIs" dxfId="43" priority="45" stopIfTrue="1" operator="equal">
      <formula>"Monthy       March 2009"</formula>
    </cfRule>
  </conditionalFormatting>
  <conditionalFormatting sqref="B1978:B1980 B1983:B1992">
    <cfRule type="cellIs" dxfId="42" priority="44" stopIfTrue="1" operator="equal">
      <formula>"Monthy       March 2009"</formula>
    </cfRule>
  </conditionalFormatting>
  <conditionalFormatting sqref="B1982">
    <cfRule type="cellIs" dxfId="41" priority="43" stopIfTrue="1" operator="equal">
      <formula>"Monthy       March 2009"</formula>
    </cfRule>
  </conditionalFormatting>
  <conditionalFormatting sqref="B2000:B2002 B2005:B2014">
    <cfRule type="cellIs" dxfId="40" priority="42" stopIfTrue="1" operator="equal">
      <formula>"Monthy       March 2009"</formula>
    </cfRule>
  </conditionalFormatting>
  <conditionalFormatting sqref="B2004">
    <cfRule type="cellIs" dxfId="39" priority="41" stopIfTrue="1" operator="equal">
      <formula>"Monthy       March 2009"</formula>
    </cfRule>
  </conditionalFormatting>
  <conditionalFormatting sqref="B2022:B2024 B2027:B2037">
    <cfRule type="cellIs" dxfId="38" priority="40" stopIfTrue="1" operator="equal">
      <formula>"Monthy       March 2009"</formula>
    </cfRule>
  </conditionalFormatting>
  <conditionalFormatting sqref="B2026">
    <cfRule type="cellIs" dxfId="37" priority="39" stopIfTrue="1" operator="equal">
      <formula>"Monthy       March 2009"</formula>
    </cfRule>
  </conditionalFormatting>
  <conditionalFormatting sqref="B2044:B2046 B2049:B2058">
    <cfRule type="cellIs" dxfId="36" priority="38" stopIfTrue="1" operator="equal">
      <formula>"Monthy       March 2009"</formula>
    </cfRule>
  </conditionalFormatting>
  <conditionalFormatting sqref="B2048">
    <cfRule type="cellIs" dxfId="35" priority="37" stopIfTrue="1" operator="equal">
      <formula>"Monthy       March 2009"</formula>
    </cfRule>
  </conditionalFormatting>
  <conditionalFormatting sqref="B2066:B2068 B2071:B2080">
    <cfRule type="cellIs" dxfId="34" priority="36" stopIfTrue="1" operator="equal">
      <formula>"Monthy       March 2009"</formula>
    </cfRule>
  </conditionalFormatting>
  <conditionalFormatting sqref="B2070">
    <cfRule type="cellIs" dxfId="33" priority="35" stopIfTrue="1" operator="equal">
      <formula>"Monthy       March 2009"</formula>
    </cfRule>
  </conditionalFormatting>
  <conditionalFormatting sqref="B2088:B2090 B2093:B2102">
    <cfRule type="cellIs" dxfId="32" priority="34" stopIfTrue="1" operator="equal">
      <formula>"Monthy       March 2009"</formula>
    </cfRule>
  </conditionalFormatting>
  <conditionalFormatting sqref="B2092">
    <cfRule type="cellIs" dxfId="31" priority="33" stopIfTrue="1" operator="equal">
      <formula>"Monthy       March 2009"</formula>
    </cfRule>
  </conditionalFormatting>
  <conditionalFormatting sqref="B2110:B2112 B2115:B2125">
    <cfRule type="cellIs" dxfId="30" priority="32" stopIfTrue="1" operator="equal">
      <formula>"Monthy       March 2009"</formula>
    </cfRule>
  </conditionalFormatting>
  <conditionalFormatting sqref="B2114">
    <cfRule type="cellIs" dxfId="29" priority="31" stopIfTrue="1" operator="equal">
      <formula>"Monthy       March 2009"</formula>
    </cfRule>
  </conditionalFormatting>
  <conditionalFormatting sqref="B2132:B2134 B2137:B2146">
    <cfRule type="cellIs" dxfId="28" priority="30" stopIfTrue="1" operator="equal">
      <formula>"Monthy       March 2009"</formula>
    </cfRule>
  </conditionalFormatting>
  <conditionalFormatting sqref="B2136">
    <cfRule type="cellIs" dxfId="27" priority="29" stopIfTrue="1" operator="equal">
      <formula>"Monthy       March 2009"</formula>
    </cfRule>
  </conditionalFormatting>
  <conditionalFormatting sqref="B2154:B2156 B2159:B2168">
    <cfRule type="cellIs" dxfId="26" priority="28" stopIfTrue="1" operator="equal">
      <formula>"Monthy       March 2009"</formula>
    </cfRule>
  </conditionalFormatting>
  <conditionalFormatting sqref="B2158">
    <cfRule type="cellIs" dxfId="25" priority="27" stopIfTrue="1" operator="equal">
      <formula>"Monthy       March 2009"</formula>
    </cfRule>
  </conditionalFormatting>
  <conditionalFormatting sqref="B2176:B2178 B2181:B2190">
    <cfRule type="cellIs" dxfId="24" priority="26" stopIfTrue="1" operator="equal">
      <formula>"Monthy       March 2009"</formula>
    </cfRule>
  </conditionalFormatting>
  <conditionalFormatting sqref="B2180">
    <cfRule type="cellIs" dxfId="23" priority="25" stopIfTrue="1" operator="equal">
      <formula>"Monthy       March 2009"</formula>
    </cfRule>
  </conditionalFormatting>
  <conditionalFormatting sqref="B2198:B2200 B2203:B2213">
    <cfRule type="cellIs" dxfId="22" priority="24" stopIfTrue="1" operator="equal">
      <formula>"Monthy       March 2009"</formula>
    </cfRule>
  </conditionalFormatting>
  <conditionalFormatting sqref="B2202">
    <cfRule type="cellIs" dxfId="21" priority="23" stopIfTrue="1" operator="equal">
      <formula>"Monthy       March 2009"</formula>
    </cfRule>
  </conditionalFormatting>
  <conditionalFormatting sqref="B2220:B2222 B2225:B2234">
    <cfRule type="cellIs" dxfId="20" priority="22" stopIfTrue="1" operator="equal">
      <formula>"Monthy       March 2009"</formula>
    </cfRule>
  </conditionalFormatting>
  <conditionalFormatting sqref="B2224">
    <cfRule type="cellIs" dxfId="19" priority="21" stopIfTrue="1" operator="equal">
      <formula>"Monthy       March 2009"</formula>
    </cfRule>
  </conditionalFormatting>
  <conditionalFormatting sqref="B2242:B2244 B2247:B2256">
    <cfRule type="cellIs" dxfId="18" priority="20" stopIfTrue="1" operator="equal">
      <formula>"Monthy       March 2009"</formula>
    </cfRule>
  </conditionalFormatting>
  <conditionalFormatting sqref="B2246">
    <cfRule type="cellIs" dxfId="17" priority="19" stopIfTrue="1" operator="equal">
      <formula>"Monthy       March 2009"</formula>
    </cfRule>
  </conditionalFormatting>
  <conditionalFormatting sqref="B2264:B2266 B2269:B2278">
    <cfRule type="cellIs" dxfId="16" priority="18" stopIfTrue="1" operator="equal">
      <formula>"Monthy       March 2009"</formula>
    </cfRule>
  </conditionalFormatting>
  <conditionalFormatting sqref="B2268">
    <cfRule type="cellIs" dxfId="15" priority="17" stopIfTrue="1" operator="equal">
      <formula>"Monthy       March 2009"</formula>
    </cfRule>
  </conditionalFormatting>
  <conditionalFormatting sqref="B2286:B2288 B2291:B2301">
    <cfRule type="cellIs" dxfId="14" priority="16" stopIfTrue="1" operator="equal">
      <formula>"Monthy       March 2009"</formula>
    </cfRule>
  </conditionalFormatting>
  <conditionalFormatting sqref="B2290">
    <cfRule type="cellIs" dxfId="13" priority="15" stopIfTrue="1" operator="equal">
      <formula>"Monthy       March 2009"</formula>
    </cfRule>
  </conditionalFormatting>
  <conditionalFormatting sqref="B2308:B2310 B2313:B2322">
    <cfRule type="cellIs" dxfId="12" priority="14" stopIfTrue="1" operator="equal">
      <formula>"Monthy       March 2009"</formula>
    </cfRule>
  </conditionalFormatting>
  <conditionalFormatting sqref="B2312">
    <cfRule type="cellIs" dxfId="11" priority="13" stopIfTrue="1" operator="equal">
      <formula>"Monthy       March 2009"</formula>
    </cfRule>
  </conditionalFormatting>
  <conditionalFormatting sqref="B2330:B2332 B2335:B2344">
    <cfRule type="cellIs" dxfId="10" priority="12" stopIfTrue="1" operator="equal">
      <formula>"Monthy       March 2009"</formula>
    </cfRule>
  </conditionalFormatting>
  <conditionalFormatting sqref="B2334">
    <cfRule type="cellIs" dxfId="9" priority="11" stopIfTrue="1" operator="equal">
      <formula>"Monthy       March 2009"</formula>
    </cfRule>
  </conditionalFormatting>
  <conditionalFormatting sqref="B2352:B2354 B2357:B2366">
    <cfRule type="cellIs" dxfId="8" priority="10" stopIfTrue="1" operator="equal">
      <formula>"Monthy       March 2009"</formula>
    </cfRule>
  </conditionalFormatting>
  <conditionalFormatting sqref="B2356">
    <cfRule type="cellIs" dxfId="7" priority="9" stopIfTrue="1" operator="equal">
      <formula>"Monthy       March 2009"</formula>
    </cfRule>
  </conditionalFormatting>
  <conditionalFormatting sqref="B2374:B2376 B2379:B2389">
    <cfRule type="cellIs" dxfId="6" priority="8" stopIfTrue="1" operator="equal">
      <formula>"Monthy       March 2009"</formula>
    </cfRule>
  </conditionalFormatting>
  <conditionalFormatting sqref="B2378">
    <cfRule type="cellIs" dxfId="5" priority="7" stopIfTrue="1" operator="equal">
      <formula>"Monthy       March 2009"</formula>
    </cfRule>
  </conditionalFormatting>
  <conditionalFormatting sqref="B2396:B2398 B2401:B2410">
    <cfRule type="cellIs" dxfId="4" priority="6" stopIfTrue="1" operator="equal">
      <formula>"Monthy       March 2009"</formula>
    </cfRule>
  </conditionalFormatting>
  <conditionalFormatting sqref="B2400">
    <cfRule type="cellIs" dxfId="3" priority="5" stopIfTrue="1" operator="equal">
      <formula>"Monthy       March 2009"</formula>
    </cfRule>
  </conditionalFormatting>
  <conditionalFormatting sqref="B2418:B2420 B2423:B2432">
    <cfRule type="cellIs" dxfId="2" priority="4" stopIfTrue="1" operator="equal">
      <formula>"Monthy       March 2009"</formula>
    </cfRule>
  </conditionalFormatting>
  <conditionalFormatting sqref="B2422">
    <cfRule type="cellIs" dxfId="1" priority="3" stopIfTrue="1" operator="equal">
      <formula>"Monthy       March 2009"</formula>
    </cfRule>
  </conditionalFormatting>
  <conditionalFormatting sqref="B2440:B2442 B2445:B2454">
    <cfRule type="cellIs" dxfId="0" priority="2" stopIfTrue="1" operator="equal">
      <formula>"Monthy       March 2009"</formula>
    </cfRule>
  </conditionalFormatting>
  <pageMargins left="0.91" right="0.19" top="0.38" bottom="0.33" header="0.41" footer="0.35"/>
  <pageSetup paperSize="9" scale="5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XIX wage slip</vt:lpstr>
      <vt:lpstr>'form XIX wage slip'!Print_Area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Singh</dc:creator>
  <cp:lastModifiedBy>Ritik Singh</cp:lastModifiedBy>
  <dcterms:created xsi:type="dcterms:W3CDTF">2026-04-29T14:56:06Z</dcterms:created>
  <dcterms:modified xsi:type="dcterms:W3CDTF">2026-04-29T14:56:27Z</dcterms:modified>
</cp:coreProperties>
</file>