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5F199360-9E8E-4346-9E0A-D53F9109532D}" xr6:coauthVersionLast="47" xr6:coauthVersionMax="47" xr10:uidLastSave="{00000000-0000-0000-0000-000000000000}"/>
  <bookViews>
    <workbookView xWindow="-108" yWindow="-108" windowWidth="23256" windowHeight="12576" xr2:uid="{A21BB1BA-9BA8-41E9-B613-F55C144DE70A}"/>
  </bookViews>
  <sheets>
    <sheet name="Form XIV Emp card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6" i="1" l="1"/>
  <c r="C55" i="1"/>
  <c r="C54" i="1"/>
  <c r="K45" i="1"/>
  <c r="K66" i="1" s="1"/>
  <c r="C35" i="1"/>
  <c r="C34" i="1"/>
  <c r="C33" i="1"/>
  <c r="C13" i="1"/>
  <c r="C12" i="1"/>
  <c r="C11" i="1"/>
  <c r="C77" i="1" l="1"/>
  <c r="C76" i="1"/>
  <c r="C75" i="1"/>
  <c r="K87" i="1"/>
  <c r="C97" i="1" l="1"/>
  <c r="C96" i="1"/>
  <c r="K108" i="1"/>
  <c r="C98" i="1"/>
  <c r="C119" i="1" l="1"/>
  <c r="C118" i="1"/>
  <c r="C117" i="1"/>
  <c r="K129" i="1"/>
  <c r="K150" i="1" l="1"/>
  <c r="C139" i="1"/>
  <c r="C140" i="1"/>
  <c r="C138" i="1"/>
  <c r="C161" i="1" l="1"/>
  <c r="C160" i="1"/>
  <c r="C159" i="1"/>
  <c r="K171" i="1"/>
  <c r="C181" i="1" l="1"/>
  <c r="K192" i="1"/>
  <c r="C180" i="1"/>
  <c r="C182" i="1"/>
  <c r="C203" i="1" l="1"/>
  <c r="C202" i="1"/>
  <c r="C201" i="1"/>
  <c r="K213" i="1"/>
  <c r="K234" i="1" l="1"/>
  <c r="C224" i="1"/>
  <c r="C223" i="1"/>
  <c r="C222" i="1"/>
  <c r="C245" i="1" l="1"/>
  <c r="C244" i="1"/>
  <c r="C243" i="1"/>
  <c r="K255" i="1"/>
  <c r="C264" i="1" l="1"/>
  <c r="K276" i="1"/>
  <c r="C266" i="1"/>
  <c r="C265" i="1"/>
  <c r="C287" i="1" l="1"/>
  <c r="C286" i="1"/>
  <c r="C285" i="1"/>
  <c r="K297" i="1"/>
  <c r="C307" i="1" l="1"/>
  <c r="C306" i="1"/>
  <c r="K318" i="1"/>
  <c r="C308" i="1"/>
  <c r="C329" i="1" l="1"/>
  <c r="C328" i="1"/>
  <c r="C327" i="1"/>
  <c r="K339" i="1"/>
  <c r="C349" i="1" l="1"/>
  <c r="K360" i="1"/>
  <c r="C350" i="1"/>
  <c r="C348" i="1"/>
  <c r="C371" i="1" l="1"/>
  <c r="C370" i="1"/>
  <c r="C369" i="1"/>
  <c r="K381" i="1"/>
  <c r="C390" i="1" l="1"/>
  <c r="K402" i="1"/>
  <c r="C392" i="1"/>
  <c r="C391" i="1"/>
  <c r="C413" i="1" l="1"/>
  <c r="C412" i="1"/>
  <c r="C411" i="1"/>
  <c r="K423" i="1"/>
  <c r="K445" i="1" l="1"/>
  <c r="C433" i="1"/>
  <c r="C432" i="1"/>
  <c r="C434" i="1"/>
  <c r="C456" i="1" l="1"/>
  <c r="C455" i="1"/>
  <c r="C454" i="1"/>
  <c r="K466" i="1"/>
  <c r="C476" i="1" l="1"/>
  <c r="K487" i="1"/>
  <c r="C477" i="1"/>
  <c r="C475" i="1"/>
  <c r="C498" i="1" l="1"/>
  <c r="C497" i="1"/>
  <c r="C496" i="1"/>
  <c r="K508" i="1"/>
  <c r="C518" i="1" l="1"/>
  <c r="K529" i="1"/>
  <c r="C519" i="1"/>
  <c r="C517" i="1"/>
  <c r="C540" i="1" l="1"/>
  <c r="C539" i="1"/>
  <c r="C538" i="1"/>
  <c r="K550" i="1"/>
  <c r="C559" i="1" l="1"/>
  <c r="K571" i="1"/>
  <c r="C561" i="1"/>
  <c r="C560" i="1"/>
  <c r="C582" i="1" l="1"/>
  <c r="C581" i="1"/>
  <c r="C580" i="1"/>
  <c r="K592" i="1"/>
  <c r="C601" i="1" l="1"/>
  <c r="K613" i="1"/>
  <c r="C603" i="1"/>
  <c r="C602" i="1"/>
  <c r="C624" i="1" l="1"/>
  <c r="C623" i="1"/>
  <c r="C622" i="1"/>
  <c r="K634" i="1"/>
  <c r="C644" i="1" l="1"/>
  <c r="K655" i="1"/>
  <c r="C643" i="1"/>
  <c r="C645" i="1"/>
  <c r="C666" i="1" l="1"/>
  <c r="C665" i="1"/>
  <c r="C664" i="1"/>
  <c r="K676" i="1"/>
  <c r="C686" i="1" l="1"/>
  <c r="C685" i="1"/>
  <c r="K697" i="1"/>
  <c r="C687" i="1"/>
  <c r="C708" i="1" l="1"/>
  <c r="C707" i="1"/>
  <c r="C706" i="1"/>
  <c r="K718" i="1"/>
  <c r="K739" i="1" l="1"/>
  <c r="C729" i="1"/>
  <c r="C728" i="1"/>
  <c r="C727" i="1"/>
  <c r="C750" i="1" l="1"/>
  <c r="C749" i="1"/>
  <c r="C748" i="1"/>
  <c r="K760" i="1"/>
  <c r="C769" i="1" l="1"/>
  <c r="C770" i="1"/>
  <c r="K781" i="1"/>
  <c r="C771" i="1"/>
  <c r="C792" i="1" l="1"/>
  <c r="C791" i="1"/>
  <c r="C790" i="1"/>
  <c r="K802" i="1"/>
  <c r="K823" i="1" l="1"/>
  <c r="C811" i="1"/>
  <c r="C813" i="1"/>
  <c r="C812" i="1"/>
  <c r="C834" i="1" l="1"/>
  <c r="C833" i="1"/>
  <c r="C832" i="1"/>
  <c r="K844" i="1"/>
  <c r="C854" i="1" l="1"/>
  <c r="K865" i="1"/>
  <c r="C855" i="1"/>
  <c r="C853" i="1"/>
  <c r="C876" i="1" l="1"/>
  <c r="C875" i="1"/>
  <c r="C874" i="1"/>
  <c r="K886" i="1"/>
  <c r="C895" i="1" l="1"/>
  <c r="K907" i="1"/>
  <c r="C896" i="1"/>
  <c r="C897" i="1"/>
  <c r="C918" i="1" l="1"/>
  <c r="C917" i="1"/>
  <c r="C916" i="1"/>
  <c r="K928" i="1"/>
  <c r="C937" i="1" l="1"/>
  <c r="C938" i="1"/>
  <c r="K949" i="1"/>
  <c r="C939" i="1"/>
  <c r="C960" i="1" l="1"/>
  <c r="C959" i="1"/>
  <c r="C958" i="1"/>
  <c r="K970" i="1"/>
  <c r="K991" i="1" l="1"/>
  <c r="C979" i="1"/>
  <c r="C981" i="1"/>
  <c r="C980" i="1"/>
  <c r="C1002" i="1" l="1"/>
  <c r="C1001" i="1"/>
  <c r="C1000" i="1"/>
  <c r="K1012" i="1"/>
  <c r="C1022" i="1" l="1"/>
  <c r="K1033" i="1"/>
  <c r="C1023" i="1"/>
  <c r="C1021" i="1"/>
  <c r="C1044" i="1" l="1"/>
  <c r="C1043" i="1"/>
  <c r="C1042" i="1"/>
  <c r="K1054" i="1"/>
  <c r="C1063" i="1" l="1"/>
  <c r="K1075" i="1"/>
  <c r="C1065" i="1"/>
  <c r="C1064" i="1"/>
  <c r="C1086" i="1" l="1"/>
  <c r="C1085" i="1"/>
  <c r="C1084" i="1"/>
  <c r="K1096" i="1"/>
  <c r="C1106" i="1" l="1"/>
  <c r="C1105" i="1"/>
  <c r="K1117" i="1"/>
  <c r="C1107" i="1"/>
  <c r="C1128" i="1" l="1"/>
  <c r="C1127" i="1"/>
  <c r="C1126" i="1"/>
  <c r="K1138" i="1"/>
  <c r="C1147" i="1" l="1"/>
  <c r="C1148" i="1"/>
  <c r="K1159" i="1"/>
  <c r="C1149" i="1"/>
  <c r="C1170" i="1" l="1"/>
  <c r="C1169" i="1"/>
  <c r="C1168" i="1"/>
  <c r="K1180" i="1"/>
  <c r="C1190" i="1" l="1"/>
  <c r="K1201" i="1"/>
  <c r="C1191" i="1"/>
  <c r="C1189" i="1"/>
  <c r="C1212" i="1" l="1"/>
  <c r="C1211" i="1"/>
  <c r="C1210" i="1"/>
  <c r="K1222" i="1"/>
  <c r="K1243" i="1" l="1"/>
  <c r="C1231" i="1"/>
  <c r="C1233" i="1"/>
  <c r="C1232" i="1"/>
  <c r="C1254" i="1" l="1"/>
  <c r="C1253" i="1"/>
  <c r="C1252" i="1"/>
  <c r="K1264" i="1"/>
  <c r="C1274" i="1" l="1"/>
  <c r="K1285" i="1"/>
  <c r="C1275" i="1"/>
  <c r="C1273" i="1"/>
  <c r="C1296" i="1" l="1"/>
  <c r="C1295" i="1"/>
  <c r="C1294" i="1"/>
  <c r="K1306" i="1"/>
  <c r="C1315" i="1" l="1"/>
  <c r="K1327" i="1"/>
  <c r="C1317" i="1"/>
  <c r="C1316" i="1"/>
  <c r="C1338" i="1" l="1"/>
  <c r="C1337" i="1"/>
  <c r="C1336" i="1"/>
  <c r="K1348" i="1"/>
  <c r="C1358" i="1" l="1"/>
  <c r="K1369" i="1"/>
  <c r="C1359" i="1"/>
  <c r="C1357" i="1"/>
  <c r="C1380" i="1" l="1"/>
  <c r="C1379" i="1"/>
  <c r="C1378" i="1"/>
  <c r="K1390" i="1"/>
  <c r="C1399" i="1" l="1"/>
  <c r="K1411" i="1"/>
  <c r="C1401" i="1"/>
  <c r="C1400" i="1"/>
  <c r="C1422" i="1" l="1"/>
  <c r="C1421" i="1"/>
  <c r="C1420" i="1"/>
  <c r="K1432" i="1"/>
  <c r="C1442" i="1" l="1"/>
  <c r="K1453" i="1"/>
  <c r="C1443" i="1"/>
  <c r="C1441" i="1"/>
  <c r="C1464" i="1" l="1"/>
  <c r="C1463" i="1"/>
  <c r="C1462" i="1"/>
  <c r="K1474" i="1"/>
  <c r="C1484" i="1" l="1"/>
  <c r="K1495" i="1"/>
  <c r="C1485" i="1"/>
  <c r="C1483" i="1"/>
  <c r="C1506" i="1" l="1"/>
  <c r="C1505" i="1"/>
  <c r="C1504" i="1"/>
  <c r="K1516" i="1"/>
  <c r="C1526" i="1" l="1"/>
  <c r="K1537" i="1"/>
  <c r="C1527" i="1"/>
  <c r="C1525" i="1"/>
  <c r="C1548" i="1" l="1"/>
  <c r="C1547" i="1"/>
  <c r="C1546" i="1"/>
  <c r="K1558" i="1"/>
  <c r="K1579" i="1" l="1"/>
  <c r="C1567" i="1"/>
  <c r="C1569" i="1"/>
  <c r="C1568" i="1"/>
  <c r="C1590" i="1" l="1"/>
  <c r="C1589" i="1"/>
  <c r="C1588" i="1"/>
  <c r="K1600" i="1"/>
  <c r="C1610" i="1" l="1"/>
  <c r="C1609" i="1"/>
  <c r="K1621" i="1"/>
  <c r="C1611" i="1"/>
  <c r="C1632" i="1" l="1"/>
  <c r="C1631" i="1"/>
  <c r="C1630" i="1"/>
  <c r="K1642" i="1"/>
  <c r="C1651" i="1" l="1"/>
  <c r="K1663" i="1"/>
  <c r="C1653" i="1"/>
  <c r="C1652" i="1"/>
  <c r="C1674" i="1" l="1"/>
  <c r="C1673" i="1"/>
  <c r="C1672" i="1"/>
  <c r="K1684" i="1"/>
  <c r="C1693" i="1" l="1"/>
  <c r="K1705" i="1"/>
  <c r="C1694" i="1"/>
  <c r="C1695" i="1"/>
  <c r="C1716" i="1" l="1"/>
  <c r="C1715" i="1"/>
  <c r="C1714" i="1"/>
</calcChain>
</file>

<file path=xl/sharedStrings.xml><?xml version="1.0" encoding="utf-8"?>
<sst xmlns="http://schemas.openxmlformats.org/spreadsheetml/2006/main" count="1968" uniqueCount="24">
  <si>
    <t>Form XIV</t>
  </si>
  <si>
    <t>(See Rule 76)</t>
  </si>
  <si>
    <t>Employment Card</t>
  </si>
  <si>
    <t>Name and address of contractor :</t>
  </si>
  <si>
    <t>SORYE CONTRUCTION</t>
  </si>
  <si>
    <t>Name and address of Establishment in/ under which contract is carried on :</t>
  </si>
  <si>
    <t>CAVENDISH INDUSTRIES LIMITED (A UNIT OF JK TYRE)
LAKSAR, HARIDWAR, UTTRAKHAND</t>
  </si>
  <si>
    <t>Name of work and location of work :</t>
  </si>
  <si>
    <t>CIVIL WORK, LAKSAR, HARIDWAR</t>
  </si>
  <si>
    <t>Name and address of Principal Employer :</t>
  </si>
  <si>
    <t>CAVENDISH INDUSTRIES LIMITED (A UNIT OF JK TYRE)</t>
  </si>
  <si>
    <t>1. Name of the workman :</t>
  </si>
  <si>
    <t>2. S.No. in the register of workmen employed  :</t>
  </si>
  <si>
    <t>3. Nature of employment/Designation :</t>
  </si>
  <si>
    <t>4. Wage rate (with particulars of unit in case of piece-work:</t>
  </si>
  <si>
    <t>AS PER GOVT. (UNSKILLED)</t>
  </si>
  <si>
    <t>5. Wage period :</t>
  </si>
  <si>
    <t>1 TO 31</t>
  </si>
  <si>
    <t>6. Tenure of employment :</t>
  </si>
  <si>
    <t>6 MONTH</t>
  </si>
  <si>
    <t>7. Remarks :</t>
  </si>
  <si>
    <t>Place :</t>
  </si>
  <si>
    <t>Date :</t>
  </si>
  <si>
    <t>Signature of Contractor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</si>
</sst>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name val="Calibri"/>
      <family val="2"/>
    </font>
    <font>
      <sz val="8"/>
      <name val="Cambria"/>
      <family val="1"/>
    </font>
    <font>
      <b/>
      <sz val="8"/>
      <name val="Cambria"/>
      <family val="1"/>
    </font>
    <font>
      <sz val="8"/>
      <color indexed="10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6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2">
    <xf numFmtId="0" fontId="0" fillId="0" borderId="0"/>
    <xf numFmtId="0" fontId="1" fillId="0" borderId="0"/>
  </cellStyleXfs>
  <cellXfs count="49">
    <xf numFmtId="0" fontId="0" fillId="0" borderId="0" xfId="0"/>
    <xf numFmtId="0" fontId="2" fillId="2" borderId="0" xfId="1" applyFont="1" applyFill="1" applyAlignment="1">
      <alignment horizontal="center" vertical="center" textRotation="90"/>
    </xf>
    <xf numFmtId="0" fontId="2" fillId="2" borderId="0" xfId="1" applyFont="1" applyFill="1"/>
    <xf numFmtId="0" fontId="2" fillId="2" borderId="0" xfId="1" applyFont="1" applyFill="1" applyAlignment="1">
      <alignment horizontal="left" vertical="center" wrapText="1"/>
    </xf>
    <xf numFmtId="0" fontId="2" fillId="2" borderId="1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3" fillId="2" borderId="4" xfId="1" applyFont="1" applyFill="1" applyBorder="1" applyAlignment="1">
      <alignment horizontal="center"/>
    </xf>
    <xf numFmtId="0" fontId="3" fillId="2" borderId="5" xfId="1" applyFont="1" applyFill="1" applyBorder="1" applyAlignment="1">
      <alignment horizontal="center"/>
    </xf>
    <xf numFmtId="0" fontId="2" fillId="2" borderId="6" xfId="1" applyFont="1" applyFill="1" applyBorder="1" applyAlignment="1">
      <alignment horizontal="center"/>
    </xf>
    <xf numFmtId="0" fontId="3" fillId="2" borderId="7" xfId="1" applyFont="1" applyFill="1" applyBorder="1" applyAlignment="1">
      <alignment horizontal="center"/>
    </xf>
    <xf numFmtId="0" fontId="3" fillId="2" borderId="0" xfId="1" applyFont="1" applyFill="1" applyAlignment="1">
      <alignment horizontal="center"/>
    </xf>
    <xf numFmtId="0" fontId="3" fillId="2" borderId="8" xfId="1" applyFont="1" applyFill="1" applyBorder="1" applyAlignment="1">
      <alignment horizontal="center"/>
    </xf>
    <xf numFmtId="0" fontId="3" fillId="2" borderId="7" xfId="1" applyFont="1" applyFill="1" applyBorder="1" applyAlignment="1">
      <alignment horizontal="left"/>
    </xf>
    <xf numFmtId="0" fontId="2" fillId="2" borderId="8" xfId="1" applyFont="1" applyFill="1" applyBorder="1" applyAlignment="1">
      <alignment horizontal="left" vertical="center" wrapText="1"/>
    </xf>
    <xf numFmtId="0" fontId="2" fillId="2" borderId="9" xfId="1" applyFont="1" applyFill="1" applyBorder="1" applyAlignment="1">
      <alignment horizontal="left" vertical="center" wrapText="1"/>
    </xf>
    <xf numFmtId="14" fontId="2" fillId="2" borderId="10" xfId="1" applyNumberFormat="1" applyFont="1" applyFill="1" applyBorder="1" applyAlignment="1">
      <alignment horizontal="left" vertical="center" wrapText="1"/>
    </xf>
    <xf numFmtId="0" fontId="2" fillId="2" borderId="11" xfId="1" applyFont="1" applyFill="1" applyBorder="1" applyAlignment="1">
      <alignment horizontal="left" vertical="center" wrapText="1"/>
    </xf>
    <xf numFmtId="0" fontId="2" fillId="2" borderId="12" xfId="1" applyFont="1" applyFill="1" applyBorder="1" applyAlignment="1">
      <alignment horizontal="left" vertical="center" wrapText="1"/>
    </xf>
    <xf numFmtId="0" fontId="2" fillId="2" borderId="13" xfId="1" applyFont="1" applyFill="1" applyBorder="1" applyAlignment="1">
      <alignment horizontal="left" vertical="center" wrapText="1"/>
    </xf>
    <xf numFmtId="14" fontId="2" fillId="2" borderId="14" xfId="1" applyNumberFormat="1" applyFont="1" applyFill="1" applyBorder="1" applyAlignment="1">
      <alignment horizontal="left" vertical="center" wrapText="1"/>
    </xf>
    <xf numFmtId="0" fontId="2" fillId="2" borderId="15" xfId="1" applyFont="1" applyFill="1" applyBorder="1" applyAlignment="1">
      <alignment horizontal="left" vertical="center" wrapText="1"/>
    </xf>
    <xf numFmtId="0" fontId="2" fillId="2" borderId="16" xfId="1" applyFont="1" applyFill="1" applyBorder="1" applyAlignment="1">
      <alignment horizontal="left" vertical="center" wrapText="1"/>
    </xf>
    <xf numFmtId="0" fontId="4" fillId="2" borderId="14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16" xfId="1" applyFont="1" applyFill="1" applyBorder="1" applyAlignment="1">
      <alignment horizontal="center" vertical="center" wrapText="1"/>
    </xf>
    <xf numFmtId="0" fontId="2" fillId="2" borderId="14" xfId="1" applyFont="1" applyFill="1" applyBorder="1" applyAlignment="1">
      <alignment horizontal="center" vertical="center" wrapText="1"/>
    </xf>
    <xf numFmtId="0" fontId="2" fillId="2" borderId="15" xfId="1" applyFont="1" applyFill="1" applyBorder="1" applyAlignment="1">
      <alignment horizontal="center" vertical="center" wrapText="1"/>
    </xf>
    <xf numFmtId="0" fontId="2" fillId="2" borderId="16" xfId="1" applyFont="1" applyFill="1" applyBorder="1" applyAlignment="1">
      <alignment horizontal="center" vertical="center" wrapText="1"/>
    </xf>
    <xf numFmtId="0" fontId="2" fillId="2" borderId="17" xfId="1" applyFont="1" applyFill="1" applyBorder="1" applyAlignment="1">
      <alignment horizontal="left" vertical="center" wrapText="1"/>
    </xf>
    <xf numFmtId="0" fontId="2" fillId="2" borderId="18" xfId="1" applyFont="1" applyFill="1" applyBorder="1" applyAlignment="1">
      <alignment horizontal="left" vertical="center" wrapText="1"/>
    </xf>
    <xf numFmtId="0" fontId="2" fillId="2" borderId="19" xfId="1" applyFont="1" applyFill="1" applyBorder="1" applyAlignment="1">
      <alignment horizontal="left" vertical="center" wrapText="1"/>
    </xf>
    <xf numFmtId="0" fontId="2" fillId="2" borderId="20" xfId="1" applyFont="1" applyFill="1" applyBorder="1" applyAlignment="1">
      <alignment horizontal="left" vertical="center" wrapText="1"/>
    </xf>
    <xf numFmtId="0" fontId="2" fillId="2" borderId="3" xfId="1" quotePrefix="1" applyFont="1" applyFill="1" applyBorder="1" applyAlignment="1">
      <alignment horizontal="left"/>
    </xf>
    <xf numFmtId="0" fontId="2" fillId="2" borderId="4" xfId="1" applyFont="1" applyFill="1" applyBorder="1" applyAlignment="1">
      <alignment horizontal="left" vertical="center" wrapText="1"/>
    </xf>
    <xf numFmtId="0" fontId="2" fillId="2" borderId="5" xfId="1" applyFont="1" applyFill="1" applyBorder="1" applyAlignment="1">
      <alignment horizontal="left" vertical="center" wrapText="1"/>
    </xf>
    <xf numFmtId="0" fontId="2" fillId="2" borderId="21" xfId="1" applyFont="1" applyFill="1" applyBorder="1" applyAlignment="1">
      <alignment horizontal="left"/>
    </xf>
    <xf numFmtId="0" fontId="2" fillId="2" borderId="22" xfId="1" applyFont="1" applyFill="1" applyBorder="1" applyAlignment="1">
      <alignment horizontal="left" vertical="center" wrapText="1"/>
    </xf>
    <xf numFmtId="0" fontId="2" fillId="2" borderId="23" xfId="1" applyFont="1" applyFill="1" applyBorder="1" applyAlignment="1">
      <alignment horizontal="left" vertical="center" wrapText="1"/>
    </xf>
    <xf numFmtId="0" fontId="2" fillId="2" borderId="24" xfId="1" applyFont="1" applyFill="1" applyBorder="1" applyAlignment="1">
      <alignment horizontal="left"/>
    </xf>
    <xf numFmtId="0" fontId="2" fillId="2" borderId="24" xfId="1" applyFont="1" applyFill="1" applyBorder="1" applyAlignment="1">
      <alignment horizontal="left" vertical="center" wrapText="1"/>
    </xf>
    <xf numFmtId="0" fontId="2" fillId="2" borderId="25" xfId="1" applyFont="1" applyFill="1" applyBorder="1" applyAlignment="1">
      <alignment horizontal="center"/>
    </xf>
    <xf numFmtId="0" fontId="2" fillId="2" borderId="0" xfId="1" applyFont="1" applyFill="1" applyAlignment="1">
      <alignment horizontal="left"/>
    </xf>
    <xf numFmtId="0" fontId="4" fillId="2" borderId="14" xfId="1" applyFont="1" applyFill="1" applyBorder="1" applyAlignment="1">
      <alignment horizontal="left" vertical="center" wrapText="1"/>
    </xf>
    <xf numFmtId="0" fontId="4" fillId="2" borderId="15" xfId="1" applyFont="1" applyFill="1" applyBorder="1" applyAlignment="1">
      <alignment horizontal="left" vertical="center" wrapText="1"/>
    </xf>
    <xf numFmtId="0" fontId="4" fillId="2" borderId="16" xfId="1" applyFont="1" applyFill="1" applyBorder="1" applyAlignment="1">
      <alignment horizontal="left" vertical="center" wrapText="1"/>
    </xf>
    <xf numFmtId="0" fontId="2" fillId="2" borderId="14" xfId="1" applyFont="1" applyFill="1" applyBorder="1" applyAlignment="1">
      <alignment horizontal="left" vertical="center" wrapText="1"/>
    </xf>
    <xf numFmtId="0" fontId="2" fillId="2" borderId="0" xfId="1" applyFont="1" applyFill="1" applyAlignment="1">
      <alignment horizontal="center" vertical="center" textRotation="90"/>
    </xf>
  </cellXfs>
  <cellStyles count="2">
    <cellStyle name="Normal" xfId="0" builtinId="0"/>
    <cellStyle name="Normal_FORM X Employment Card" xfId="1" xr:uid="{A940EE3D-3F72-4CD4-83AA-01264ED03B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Downloads\15.%20Sorya%20Wages%20Sheet%20Dec%2025.xls" TargetMode="External"/><Relationship Id="rId1" Type="http://schemas.openxmlformats.org/officeDocument/2006/relationships/externalLinkPath" Target="/Users/Dell/Downloads/15.%20Sorya%20Wages%20Sheet%20Dec%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 XIII"/>
      <sheetName val="Form XIV Emp card"/>
      <sheetName val="FORM XV Serv Certi"/>
      <sheetName val=" Form XVI"/>
      <sheetName val=" Wages Sheet FORM XVII"/>
      <sheetName val="form XIX wage slip"/>
      <sheetName val="FORM XX"/>
      <sheetName val="Form XXI"/>
      <sheetName val="Form XXII"/>
      <sheetName val=" Over Time FORM XXIII"/>
    </sheetNames>
    <sheetDataSet>
      <sheetData sheetId="0">
        <row r="14">
          <cell r="C14">
            <v>1</v>
          </cell>
          <cell r="D14">
            <v>72222011</v>
          </cell>
          <cell r="E14" t="str">
            <v>SOHANVEER</v>
          </cell>
          <cell r="F14" t="str">
            <v>Male</v>
          </cell>
          <cell r="G14" t="str">
            <v>ASHARAM</v>
          </cell>
          <cell r="H14" t="str">
            <v/>
          </cell>
          <cell r="I14" t="str">
            <v>6111169980</v>
          </cell>
          <cell r="J14" t="str">
            <v/>
          </cell>
          <cell r="K14" t="str">
            <v xml:space="preserve">PUNDITPURI </v>
          </cell>
          <cell r="L14" t="str">
            <v xml:space="preserve">PUNDITPURI </v>
          </cell>
          <cell r="M14">
            <v>42937</v>
          </cell>
        </row>
        <row r="15">
          <cell r="C15">
            <v>2</v>
          </cell>
          <cell r="D15">
            <v>72222024</v>
          </cell>
          <cell r="E15" t="str">
            <v>FURKAN</v>
          </cell>
          <cell r="F15" t="str">
            <v>Male</v>
          </cell>
          <cell r="G15" t="str">
            <v>MEERU</v>
          </cell>
          <cell r="H15" t="str">
            <v>101207391229</v>
          </cell>
          <cell r="I15" t="str">
            <v>6111159970</v>
          </cell>
          <cell r="J15" t="str">
            <v/>
          </cell>
          <cell r="K15" t="str">
            <v>KAGWALI ROORKEE MANGLOUR</v>
          </cell>
          <cell r="L15" t="str">
            <v>KAGWALI ROORKEE MANGLOUR</v>
          </cell>
          <cell r="M15">
            <v>42943</v>
          </cell>
        </row>
        <row r="16">
          <cell r="C16">
            <v>3</v>
          </cell>
          <cell r="D16">
            <v>72222032</v>
          </cell>
          <cell r="E16" t="str">
            <v>SOMIT KUMAR</v>
          </cell>
          <cell r="F16" t="str">
            <v>Male</v>
          </cell>
          <cell r="G16" t="str">
            <v>KALU RAM</v>
          </cell>
          <cell r="H16" t="str">
            <v/>
          </cell>
          <cell r="I16" t="str">
            <v/>
          </cell>
          <cell r="J16" t="str">
            <v/>
          </cell>
          <cell r="K16" t="str">
            <v xml:space="preserve">KANEWALI </v>
          </cell>
          <cell r="L16" t="str">
            <v xml:space="preserve">KANEWALI </v>
          </cell>
          <cell r="M16">
            <v>43167</v>
          </cell>
        </row>
        <row r="17">
          <cell r="C17">
            <v>4</v>
          </cell>
          <cell r="D17">
            <v>72222118</v>
          </cell>
          <cell r="E17" t="str">
            <v>PAHAL SINGH</v>
          </cell>
          <cell r="F17" t="str">
            <v>Male</v>
          </cell>
          <cell r="G17" t="str">
            <v>SHUKHPAL</v>
          </cell>
          <cell r="H17" t="str">
            <v>101201585061</v>
          </cell>
          <cell r="I17" t="str">
            <v>61122713540</v>
          </cell>
          <cell r="J17" t="str">
            <v>HELPER</v>
          </cell>
          <cell r="K17" t="str">
            <v>BUKKANPUR LAKSAR</v>
          </cell>
          <cell r="L17" t="str">
            <v>BUKKANPUR LAKSAR</v>
          </cell>
          <cell r="M17">
            <v>43881</v>
          </cell>
        </row>
        <row r="18">
          <cell r="C18">
            <v>5</v>
          </cell>
          <cell r="D18">
            <v>72232186</v>
          </cell>
          <cell r="E18" t="str">
            <v>RAVINDRA</v>
          </cell>
          <cell r="F18" t="str">
            <v>Male</v>
          </cell>
          <cell r="G18" t="str">
            <v>AJAY PAL</v>
          </cell>
          <cell r="H18" t="str">
            <v/>
          </cell>
          <cell r="I18" t="str">
            <v>6113084733</v>
          </cell>
          <cell r="J18" t="str">
            <v>HELPER</v>
          </cell>
          <cell r="K18" t="str">
            <v>PANDITPURI RAISI</v>
          </cell>
          <cell r="L18" t="str">
            <v>PANDITPURI RAISI</v>
          </cell>
          <cell r="M18">
            <v>45054</v>
          </cell>
        </row>
        <row r="19">
          <cell r="C19">
            <v>6</v>
          </cell>
          <cell r="D19">
            <v>72232120</v>
          </cell>
          <cell r="E19" t="str">
            <v>ASLAM KHAN</v>
          </cell>
          <cell r="F19" t="str">
            <v>Male</v>
          </cell>
          <cell r="G19" t="str">
            <v>MOBARIK</v>
          </cell>
          <cell r="H19" t="str">
            <v>101414866705</v>
          </cell>
          <cell r="I19" t="str">
            <v>61124587250</v>
          </cell>
          <cell r="J19" t="str">
            <v/>
          </cell>
          <cell r="K19" t="str">
            <v xml:space="preserve">NAROJPUR </v>
          </cell>
          <cell r="L19" t="str">
            <v xml:space="preserve">NAROJPUR </v>
          </cell>
          <cell r="M19">
            <v>44084</v>
          </cell>
        </row>
        <row r="20">
          <cell r="C20">
            <v>7</v>
          </cell>
          <cell r="D20">
            <v>72232124</v>
          </cell>
          <cell r="E20" t="str">
            <v>SURJEET</v>
          </cell>
          <cell r="F20" t="str">
            <v>Male</v>
          </cell>
          <cell r="G20" t="str">
            <v>AMAR SINGH</v>
          </cell>
          <cell r="H20" t="str">
            <v>101402663975</v>
          </cell>
          <cell r="I20" t="str">
            <v>6111756705</v>
          </cell>
          <cell r="J20" t="str">
            <v/>
          </cell>
          <cell r="K20" t="str">
            <v xml:space="preserve">DABKI KALAN </v>
          </cell>
          <cell r="L20" t="str">
            <v xml:space="preserve">DABKI KALAN </v>
          </cell>
          <cell r="M20">
            <v>44134</v>
          </cell>
        </row>
        <row r="21">
          <cell r="C21">
            <v>8</v>
          </cell>
          <cell r="D21">
            <v>72232127</v>
          </cell>
          <cell r="E21" t="str">
            <v>AJAY KUMAR</v>
          </cell>
          <cell r="F21" t="str">
            <v>Male</v>
          </cell>
          <cell r="G21" t="str">
            <v>ANIL KUMAR</v>
          </cell>
          <cell r="H21" t="str">
            <v>101593191256</v>
          </cell>
          <cell r="I21" t="str">
            <v>6112618101</v>
          </cell>
          <cell r="J21" t="str">
            <v/>
          </cell>
          <cell r="K21" t="str">
            <v xml:space="preserve">PODOWALI </v>
          </cell>
          <cell r="L21" t="str">
            <v xml:space="preserve">PODOWALI </v>
          </cell>
          <cell r="M21">
            <v>44212</v>
          </cell>
        </row>
        <row r="22">
          <cell r="C22">
            <v>9</v>
          </cell>
          <cell r="D22">
            <v>72232131</v>
          </cell>
          <cell r="E22" t="str">
            <v>HEERALAL</v>
          </cell>
          <cell r="F22" t="str">
            <v>Male</v>
          </cell>
          <cell r="G22" t="str">
            <v>SUKHPAL SINGH</v>
          </cell>
          <cell r="H22" t="str">
            <v>101653171237</v>
          </cell>
          <cell r="I22" t="str">
            <v>6112641019</v>
          </cell>
          <cell r="J22" t="str">
            <v/>
          </cell>
          <cell r="K22" t="str">
            <v xml:space="preserve">BUKKANPUR </v>
          </cell>
          <cell r="L22" t="str">
            <v xml:space="preserve">BUKKANPUR </v>
          </cell>
          <cell r="M22">
            <v>44230</v>
          </cell>
        </row>
        <row r="23">
          <cell r="C23">
            <v>10</v>
          </cell>
          <cell r="D23">
            <v>72232159</v>
          </cell>
          <cell r="E23" t="str">
            <v>MONU KUMAR</v>
          </cell>
          <cell r="F23" t="str">
            <v>Male</v>
          </cell>
          <cell r="G23" t="str">
            <v>PITAM SINGH</v>
          </cell>
          <cell r="H23" t="str">
            <v>101207390772</v>
          </cell>
          <cell r="I23" t="str">
            <v>6111160003</v>
          </cell>
          <cell r="J23" t="str">
            <v>HELPER</v>
          </cell>
          <cell r="K23" t="str">
            <v>KANEWALI RAISI</v>
          </cell>
          <cell r="L23" t="str">
            <v>KANEWALI RAISI</v>
          </cell>
          <cell r="M23">
            <v>44781</v>
          </cell>
        </row>
        <row r="24">
          <cell r="C24">
            <v>11</v>
          </cell>
          <cell r="D24">
            <v>72232160</v>
          </cell>
          <cell r="E24" t="str">
            <v>NITESH KUMAR</v>
          </cell>
          <cell r="F24" t="str">
            <v>Male</v>
          </cell>
          <cell r="G24" t="str">
            <v>TELLU RAM</v>
          </cell>
          <cell r="H24" t="str">
            <v>100488919985</v>
          </cell>
          <cell r="I24" t="str">
            <v>6110244363</v>
          </cell>
          <cell r="J24" t="str">
            <v/>
          </cell>
          <cell r="K24" t="str">
            <v xml:space="preserve">NIYAAMATPUR </v>
          </cell>
          <cell r="L24" t="str">
            <v xml:space="preserve">NIYAAMATPUR </v>
          </cell>
          <cell r="M24">
            <v>44781</v>
          </cell>
        </row>
        <row r="25">
          <cell r="C25">
            <v>12</v>
          </cell>
          <cell r="D25">
            <v>72232163</v>
          </cell>
          <cell r="E25" t="str">
            <v>KAUSHINDRA</v>
          </cell>
          <cell r="F25" t="str">
            <v>Male</v>
          </cell>
          <cell r="G25" t="str">
            <v>ISHAM SINGH</v>
          </cell>
          <cell r="H25" t="str">
            <v>101267347538</v>
          </cell>
          <cell r="I25" t="str">
            <v>6111848626</v>
          </cell>
          <cell r="J25" t="str">
            <v/>
          </cell>
          <cell r="K25" t="str">
            <v xml:space="preserve">KANEWALI </v>
          </cell>
          <cell r="L25" t="str">
            <v xml:space="preserve">KANEWALI </v>
          </cell>
          <cell r="M25">
            <v>44781</v>
          </cell>
        </row>
        <row r="26">
          <cell r="C26">
            <v>13</v>
          </cell>
          <cell r="D26">
            <v>72232164</v>
          </cell>
          <cell r="E26" t="str">
            <v>SANDEEP</v>
          </cell>
          <cell r="F26" t="str">
            <v>Male</v>
          </cell>
          <cell r="G26" t="str">
            <v>RISHIPAL</v>
          </cell>
          <cell r="H26" t="str">
            <v>101277452773</v>
          </cell>
          <cell r="I26" t="str">
            <v>6111353057</v>
          </cell>
          <cell r="J26" t="str">
            <v/>
          </cell>
          <cell r="K26" t="str">
            <v xml:space="preserve">SETHPUR </v>
          </cell>
          <cell r="L26" t="str">
            <v xml:space="preserve">SETHPUR </v>
          </cell>
          <cell r="M26">
            <v>44781</v>
          </cell>
        </row>
        <row r="27">
          <cell r="C27">
            <v>14</v>
          </cell>
          <cell r="D27">
            <v>72232165</v>
          </cell>
          <cell r="E27" t="str">
            <v>RAVI KUMAR</v>
          </cell>
          <cell r="F27" t="str">
            <v>Male</v>
          </cell>
          <cell r="G27" t="str">
            <v>GOPAL SINGH</v>
          </cell>
          <cell r="H27" t="str">
            <v>101207391238</v>
          </cell>
          <cell r="I27" t="str">
            <v>6111159974</v>
          </cell>
          <cell r="J27" t="str">
            <v/>
          </cell>
          <cell r="K27" t="str">
            <v xml:space="preserve">BUKKANPUR </v>
          </cell>
          <cell r="L27" t="str">
            <v xml:space="preserve">BUKKANPUR </v>
          </cell>
          <cell r="M27">
            <v>44781</v>
          </cell>
        </row>
        <row r="28">
          <cell r="C28">
            <v>15</v>
          </cell>
          <cell r="D28">
            <v>72232166</v>
          </cell>
          <cell r="E28" t="str">
            <v>GOVIND</v>
          </cell>
          <cell r="F28" t="str">
            <v>Male</v>
          </cell>
          <cell r="G28" t="str">
            <v>PAWAN</v>
          </cell>
          <cell r="H28" t="str">
            <v>101163823055</v>
          </cell>
          <cell r="I28" t="str">
            <v>6113162970</v>
          </cell>
          <cell r="J28" t="str">
            <v/>
          </cell>
          <cell r="K28" t="str">
            <v xml:space="preserve">BHURNI </v>
          </cell>
          <cell r="L28" t="str">
            <v xml:space="preserve">BHURNI </v>
          </cell>
          <cell r="M28">
            <v>44781</v>
          </cell>
        </row>
        <row r="29">
          <cell r="C29">
            <v>16</v>
          </cell>
          <cell r="D29">
            <v>72232167</v>
          </cell>
          <cell r="E29" t="str">
            <v>NEERAJ KUMAR</v>
          </cell>
          <cell r="F29" t="str">
            <v>Male</v>
          </cell>
          <cell r="G29" t="str">
            <v>SORAN SINGH</v>
          </cell>
          <cell r="H29" t="str">
            <v>101795807783</v>
          </cell>
          <cell r="I29" t="str">
            <v>6113120324</v>
          </cell>
          <cell r="J29" t="str">
            <v/>
          </cell>
          <cell r="K29" t="str">
            <v xml:space="preserve">MAHARAJPUR </v>
          </cell>
          <cell r="L29" t="str">
            <v xml:space="preserve">MAHARAJPUR </v>
          </cell>
          <cell r="M29">
            <v>44781</v>
          </cell>
        </row>
        <row r="30">
          <cell r="C30">
            <v>17</v>
          </cell>
          <cell r="D30">
            <v>72232174</v>
          </cell>
          <cell r="E30" t="str">
            <v>MADAN SINGH</v>
          </cell>
          <cell r="F30" t="str">
            <v>Male</v>
          </cell>
          <cell r="G30" t="str">
            <v>CHATAR SINGH</v>
          </cell>
          <cell r="H30" t="str">
            <v>101277452760</v>
          </cell>
          <cell r="I30" t="str">
            <v>6111353053</v>
          </cell>
          <cell r="J30" t="str">
            <v/>
          </cell>
          <cell r="K30" t="str">
            <v xml:space="preserve">LAKSAR </v>
          </cell>
          <cell r="L30" t="str">
            <v xml:space="preserve">LAKSAR </v>
          </cell>
          <cell r="M30">
            <v>45052</v>
          </cell>
        </row>
        <row r="31">
          <cell r="C31">
            <v>18</v>
          </cell>
          <cell r="D31">
            <v>72232208</v>
          </cell>
          <cell r="E31" t="str">
            <v>BABLU</v>
          </cell>
          <cell r="F31" t="str">
            <v>Male</v>
          </cell>
          <cell r="G31" t="str">
            <v>RAJPAL</v>
          </cell>
          <cell r="H31" t="str">
            <v>101358281149</v>
          </cell>
          <cell r="I31" t="str">
            <v>6113708172</v>
          </cell>
          <cell r="J31" t="str">
            <v/>
          </cell>
          <cell r="K31" t="str">
            <v xml:space="preserve">PANDITPURI </v>
          </cell>
          <cell r="L31" t="str">
            <v xml:space="preserve">PANDITPURI </v>
          </cell>
          <cell r="M31">
            <v>45097</v>
          </cell>
        </row>
        <row r="32">
          <cell r="C32">
            <v>19</v>
          </cell>
          <cell r="D32">
            <v>72232177</v>
          </cell>
          <cell r="E32" t="str">
            <v>MUKESH</v>
          </cell>
          <cell r="F32" t="str">
            <v>Male</v>
          </cell>
          <cell r="G32" t="str">
            <v>MAMCHAND</v>
          </cell>
          <cell r="H32" t="str">
            <v>101092821026</v>
          </cell>
          <cell r="I32" t="str">
            <v>6110263804</v>
          </cell>
          <cell r="J32" t="str">
            <v/>
          </cell>
          <cell r="K32" t="str">
            <v xml:space="preserve">AKBARPUR UDD </v>
          </cell>
          <cell r="L32" t="str">
            <v xml:space="preserve">AKBARPUR UDD </v>
          </cell>
          <cell r="M32">
            <v>45052</v>
          </cell>
        </row>
        <row r="33">
          <cell r="C33">
            <v>20</v>
          </cell>
          <cell r="D33">
            <v>72232178</v>
          </cell>
          <cell r="E33" t="str">
            <v>AKSHAY KUMAR</v>
          </cell>
          <cell r="F33" t="str">
            <v>Male</v>
          </cell>
          <cell r="G33" t="str">
            <v>SATPAL</v>
          </cell>
          <cell r="H33" t="str">
            <v>101402664613</v>
          </cell>
          <cell r="I33" t="str">
            <v>6111465832</v>
          </cell>
          <cell r="J33" t="str">
            <v/>
          </cell>
          <cell r="K33" t="str">
            <v xml:space="preserve">KANHEWALI </v>
          </cell>
          <cell r="L33" t="str">
            <v xml:space="preserve">KANHEWALI </v>
          </cell>
          <cell r="M33">
            <v>45052</v>
          </cell>
        </row>
        <row r="34">
          <cell r="C34">
            <v>21</v>
          </cell>
          <cell r="D34">
            <v>72232179</v>
          </cell>
          <cell r="E34" t="str">
            <v>MONU</v>
          </cell>
          <cell r="F34" t="str">
            <v>Male</v>
          </cell>
          <cell r="G34" t="str">
            <v>MAHIPAL SINGH</v>
          </cell>
          <cell r="H34" t="str">
            <v>101207391199</v>
          </cell>
          <cell r="I34" t="str">
            <v>6111159991</v>
          </cell>
          <cell r="J34" t="str">
            <v/>
          </cell>
          <cell r="K34" t="str">
            <v xml:space="preserve">KANHEWALI </v>
          </cell>
          <cell r="L34" t="str">
            <v xml:space="preserve">KANHEWALI </v>
          </cell>
          <cell r="M34">
            <v>45052</v>
          </cell>
        </row>
        <row r="35">
          <cell r="C35">
            <v>22</v>
          </cell>
          <cell r="D35">
            <v>72232180</v>
          </cell>
          <cell r="E35" t="str">
            <v>ANUJ</v>
          </cell>
          <cell r="F35" t="str">
            <v>Male</v>
          </cell>
          <cell r="G35" t="str">
            <v>SHYAM KUMAR</v>
          </cell>
          <cell r="H35" t="str">
            <v>101071404816</v>
          </cell>
          <cell r="I35" t="str">
            <v>6113618997</v>
          </cell>
          <cell r="J35" t="str">
            <v/>
          </cell>
          <cell r="K35" t="str">
            <v xml:space="preserve">RAISI </v>
          </cell>
          <cell r="L35" t="str">
            <v xml:space="preserve">RAISI </v>
          </cell>
          <cell r="M35">
            <v>45052</v>
          </cell>
        </row>
        <row r="36">
          <cell r="C36">
            <v>23</v>
          </cell>
          <cell r="D36">
            <v>72232182</v>
          </cell>
          <cell r="E36" t="str">
            <v>ANKIT</v>
          </cell>
          <cell r="F36" t="str">
            <v>Male</v>
          </cell>
          <cell r="G36" t="str">
            <v>TELLURAM</v>
          </cell>
          <cell r="H36" t="str">
            <v>101807329476</v>
          </cell>
          <cell r="I36" t="str">
            <v>6113162971</v>
          </cell>
          <cell r="J36" t="str">
            <v/>
          </cell>
          <cell r="K36" t="str">
            <v xml:space="preserve">NYAMATPUR </v>
          </cell>
          <cell r="L36" t="str">
            <v xml:space="preserve">NYAMATPUR </v>
          </cell>
          <cell r="M36">
            <v>45052</v>
          </cell>
        </row>
        <row r="37">
          <cell r="C37">
            <v>24</v>
          </cell>
          <cell r="D37">
            <v>72232190</v>
          </cell>
          <cell r="E37" t="str">
            <v>VIRENDRA</v>
          </cell>
          <cell r="F37" t="str">
            <v>Male</v>
          </cell>
          <cell r="G37" t="str">
            <v>CHAMAN SINGH</v>
          </cell>
          <cell r="H37" t="str">
            <v>101161379604</v>
          </cell>
          <cell r="I37" t="str">
            <v>6113663808</v>
          </cell>
          <cell r="J37" t="str">
            <v>HELPER</v>
          </cell>
          <cell r="K37" t="str">
            <v>KUDI HABIBPUR RAISI</v>
          </cell>
          <cell r="L37" t="str">
            <v>KUDI HABIBPUR RAISI</v>
          </cell>
          <cell r="M37">
            <v>45072</v>
          </cell>
        </row>
        <row r="38">
          <cell r="C38">
            <v>25</v>
          </cell>
          <cell r="D38">
            <v>72232192</v>
          </cell>
          <cell r="E38" t="str">
            <v>ANKIT NAUTIYAL</v>
          </cell>
          <cell r="F38" t="str">
            <v>Male</v>
          </cell>
          <cell r="G38" t="str">
            <v>NARESH</v>
          </cell>
          <cell r="H38" t="str">
            <v>101402663952</v>
          </cell>
          <cell r="I38" t="str">
            <v>6112670923</v>
          </cell>
          <cell r="J38" t="str">
            <v>HELPER</v>
          </cell>
          <cell r="K38" t="str">
            <v>BUKKANPUR LAKSAR</v>
          </cell>
          <cell r="L38" t="str">
            <v>BUKKANPUR LAKSAR</v>
          </cell>
          <cell r="M38">
            <v>45079</v>
          </cell>
        </row>
        <row r="39">
          <cell r="C39">
            <v>26</v>
          </cell>
          <cell r="D39">
            <v>72232195</v>
          </cell>
          <cell r="E39" t="str">
            <v>SACHIN KUMAR</v>
          </cell>
          <cell r="F39" t="str">
            <v>Male</v>
          </cell>
          <cell r="G39" t="str">
            <v>SURAT SINGH</v>
          </cell>
          <cell r="H39" t="str">
            <v>101574932657</v>
          </cell>
          <cell r="I39" t="str">
            <v>6113400574</v>
          </cell>
          <cell r="J39" t="str">
            <v/>
          </cell>
          <cell r="K39" t="str">
            <v xml:space="preserve">MAHARAJPUR </v>
          </cell>
          <cell r="L39" t="str">
            <v xml:space="preserve">MAHARAJPUR </v>
          </cell>
          <cell r="M39">
            <v>45079</v>
          </cell>
        </row>
        <row r="40">
          <cell r="C40">
            <v>27</v>
          </cell>
          <cell r="D40">
            <v>72232196</v>
          </cell>
          <cell r="E40" t="str">
            <v>ANKIT</v>
          </cell>
          <cell r="F40" t="str">
            <v>Male</v>
          </cell>
          <cell r="G40" t="str">
            <v>JOGINDRA</v>
          </cell>
          <cell r="H40" t="str">
            <v>101380515210</v>
          </cell>
          <cell r="I40" t="str">
            <v>6113104072</v>
          </cell>
          <cell r="J40" t="str">
            <v>HELPER</v>
          </cell>
          <cell r="K40" t="str">
            <v>MATHANA DABKI KALAN</v>
          </cell>
          <cell r="L40" t="str">
            <v>MATHANA DABKI KALAN</v>
          </cell>
          <cell r="M40">
            <v>45092</v>
          </cell>
        </row>
        <row r="41">
          <cell r="C41">
            <v>28</v>
          </cell>
          <cell r="D41">
            <v>99122390</v>
          </cell>
          <cell r="E41" t="str">
            <v>HARUN</v>
          </cell>
          <cell r="F41" t="str">
            <v>Male</v>
          </cell>
          <cell r="G41" t="str">
            <v>RIYASAT</v>
          </cell>
          <cell r="H41" t="str">
            <v>101623418038</v>
          </cell>
          <cell r="I41" t="str">
            <v>6113837571</v>
          </cell>
          <cell r="J41" t="str">
            <v>SUPERV</v>
          </cell>
          <cell r="K41" t="str">
            <v xml:space="preserve">NAGLA KHURD HARIDWAR UTTRAKHAND </v>
          </cell>
          <cell r="L41" t="str">
            <v xml:space="preserve">NAGLA KHURD HARIDWAR UTTRAKHAND </v>
          </cell>
          <cell r="M41">
            <v>45430</v>
          </cell>
        </row>
        <row r="42">
          <cell r="C42">
            <v>29</v>
          </cell>
          <cell r="D42">
            <v>99122481</v>
          </cell>
          <cell r="E42" t="str">
            <v>ASS.MOHOMMED</v>
          </cell>
          <cell r="F42" t="str">
            <v>Male</v>
          </cell>
          <cell r="G42" t="str">
            <v>KALLU</v>
          </cell>
          <cell r="H42" t="str">
            <v>101250819007</v>
          </cell>
          <cell r="I42" t="str">
            <v>6111649567</v>
          </cell>
          <cell r="J42" t="str">
            <v>HELPER</v>
          </cell>
          <cell r="K42" t="str">
            <v>KHEDI MUBARIKPUR LAKSAR</v>
          </cell>
          <cell r="L42" t="str">
            <v>KHEDI MUBARIKPUR LAKSAR</v>
          </cell>
          <cell r="M42">
            <v>45247</v>
          </cell>
        </row>
        <row r="43">
          <cell r="C43">
            <v>30</v>
          </cell>
          <cell r="D43">
            <v>99122482</v>
          </cell>
          <cell r="E43" t="str">
            <v>RAJENDRA KUMAR</v>
          </cell>
          <cell r="F43" t="str">
            <v>Male</v>
          </cell>
          <cell r="G43" t="str">
            <v>NETRPAL SINGH</v>
          </cell>
          <cell r="H43" t="str">
            <v>101972448634</v>
          </cell>
          <cell r="I43" t="str">
            <v>6113759038</v>
          </cell>
          <cell r="J43" t="str">
            <v>HELPER</v>
          </cell>
          <cell r="K43" t="str">
            <v>KHEDI MUBARIKPUR LAKSAR</v>
          </cell>
          <cell r="L43" t="str">
            <v>KHEDI MUBARIKPUR LAKSAR</v>
          </cell>
          <cell r="M43">
            <v>45247</v>
          </cell>
        </row>
        <row r="44">
          <cell r="C44">
            <v>31</v>
          </cell>
          <cell r="D44">
            <v>99122483</v>
          </cell>
          <cell r="E44" t="str">
            <v>MUNNA</v>
          </cell>
          <cell r="F44" t="str">
            <v>Male</v>
          </cell>
          <cell r="G44" t="str">
            <v>BUDHHU</v>
          </cell>
          <cell r="H44" t="str">
            <v>101235076797</v>
          </cell>
          <cell r="I44" t="str">
            <v>6111756723</v>
          </cell>
          <cell r="J44" t="str">
            <v>HELPER</v>
          </cell>
          <cell r="K44" t="str">
            <v>KHEDI MUBARIKPUR LAKSAR</v>
          </cell>
          <cell r="L44" t="str">
            <v>KHEDI MUBARIKPUR LAKSAR</v>
          </cell>
          <cell r="M44">
            <v>45247</v>
          </cell>
        </row>
        <row r="45">
          <cell r="C45">
            <v>32</v>
          </cell>
          <cell r="D45">
            <v>99132036</v>
          </cell>
          <cell r="E45" t="str">
            <v>SONU KUMAR</v>
          </cell>
          <cell r="F45" t="str">
            <v>Male</v>
          </cell>
          <cell r="G45" t="str">
            <v>KALURAM</v>
          </cell>
          <cell r="H45" t="str">
            <v>101845492274</v>
          </cell>
          <cell r="I45" t="str">
            <v>6112963453</v>
          </cell>
          <cell r="J45" t="str">
            <v>HELPER</v>
          </cell>
          <cell r="K45" t="str">
            <v xml:space="preserve">DABKI KALAN, LAKSAR, HARIDWAR-247663 </v>
          </cell>
          <cell r="L45" t="str">
            <v xml:space="preserve">DABKI KALAN, LAKSAR, HARIDWAR-247663 </v>
          </cell>
          <cell r="M45">
            <v>45374</v>
          </cell>
        </row>
        <row r="46">
          <cell r="C46">
            <v>33</v>
          </cell>
          <cell r="D46">
            <v>99132326</v>
          </cell>
          <cell r="E46" t="str">
            <v>SHERKHAN</v>
          </cell>
          <cell r="F46" t="str">
            <v>Male</v>
          </cell>
          <cell r="G46" t="str">
            <v>JAHANGEER</v>
          </cell>
          <cell r="H46" t="str">
            <v>101611317313</v>
          </cell>
          <cell r="I46" t="str">
            <v>6112478377</v>
          </cell>
          <cell r="J46" t="str">
            <v>HELPER</v>
          </cell>
          <cell r="K46" t="str">
            <v xml:space="preserve">NAROJPUR LAKSAR HARIDWAR 247663 </v>
          </cell>
          <cell r="L46" t="str">
            <v xml:space="preserve">NAROJPUR LAKSAR HARIDWAR 247663 </v>
          </cell>
          <cell r="M46">
            <v>45183</v>
          </cell>
        </row>
        <row r="47">
          <cell r="C47">
            <v>34</v>
          </cell>
          <cell r="D47">
            <v>99133051</v>
          </cell>
          <cell r="E47" t="str">
            <v>DANISH</v>
          </cell>
          <cell r="F47" t="str">
            <v>Male</v>
          </cell>
          <cell r="G47" t="str">
            <v>PARVEJ ALAM</v>
          </cell>
          <cell r="H47" t="str">
            <v>101508321825</v>
          </cell>
          <cell r="I47" t="str">
            <v>6112111749</v>
          </cell>
          <cell r="J47" t="str">
            <v>HELPER</v>
          </cell>
          <cell r="K47" t="str">
            <v>KHARNJA KUTUBPUR LAKSAR</v>
          </cell>
          <cell r="L47" t="str">
            <v>KHARNJA KUTUBPUR LAKSAR</v>
          </cell>
          <cell r="M47">
            <v>45341</v>
          </cell>
        </row>
        <row r="48">
          <cell r="C48">
            <v>35</v>
          </cell>
          <cell r="D48">
            <v>99133848</v>
          </cell>
          <cell r="E48" t="str">
            <v>SAKIR ALI</v>
          </cell>
          <cell r="F48" t="str">
            <v>Male</v>
          </cell>
          <cell r="G48" t="str">
            <v>SHAKIL AHAMAD</v>
          </cell>
          <cell r="H48" t="str">
            <v>102077193786</v>
          </cell>
          <cell r="I48" t="str">
            <v>6114182147</v>
          </cell>
          <cell r="J48" t="str">
            <v>HELPER</v>
          </cell>
          <cell r="K48" t="str">
            <v>BASERI KHADAR LAKSAR</v>
          </cell>
          <cell r="L48" t="str">
            <v>BASERI KHADAR LAKSAR</v>
          </cell>
          <cell r="M48">
            <v>45456</v>
          </cell>
        </row>
        <row r="49">
          <cell r="C49">
            <v>36</v>
          </cell>
          <cell r="D49">
            <v>99134608</v>
          </cell>
          <cell r="E49" t="str">
            <v>AASKAR</v>
          </cell>
          <cell r="F49" t="str">
            <v>Male</v>
          </cell>
          <cell r="G49" t="str">
            <v>IRFAN</v>
          </cell>
          <cell r="H49" t="str">
            <v>102121985279</v>
          </cell>
          <cell r="I49" t="str">
            <v>6114350935</v>
          </cell>
          <cell r="J49" t="str">
            <v>HELPER</v>
          </cell>
          <cell r="K49" t="str">
            <v>KHERI KHUUD LAKSAR</v>
          </cell>
          <cell r="L49" t="str">
            <v>KHERI KHUUD LAKSAR</v>
          </cell>
          <cell r="M49">
            <v>45582</v>
          </cell>
        </row>
        <row r="50">
          <cell r="C50">
            <v>37</v>
          </cell>
          <cell r="D50">
            <v>99134609</v>
          </cell>
          <cell r="E50" t="str">
            <v>AKASH</v>
          </cell>
          <cell r="F50" t="str">
            <v>Male</v>
          </cell>
          <cell r="G50" t="str">
            <v>JAGDEESH</v>
          </cell>
          <cell r="H50" t="str">
            <v>101825802709</v>
          </cell>
          <cell r="I50" t="str">
            <v>6114305172</v>
          </cell>
          <cell r="J50" t="str">
            <v>HELPER</v>
          </cell>
          <cell r="K50" t="str">
            <v>RAISI KANHEWALI LAKSAR</v>
          </cell>
          <cell r="L50" t="str">
            <v>RAISI KANHEWALI LAKSAR</v>
          </cell>
          <cell r="M50">
            <v>45582</v>
          </cell>
        </row>
        <row r="51">
          <cell r="C51">
            <v>38</v>
          </cell>
          <cell r="D51">
            <v>99134667</v>
          </cell>
          <cell r="E51" t="str">
            <v>SUMIT KUMAR</v>
          </cell>
          <cell r="F51" t="str">
            <v>Male</v>
          </cell>
          <cell r="G51" t="str">
            <v>SEWA RAM</v>
          </cell>
          <cell r="H51" t="str">
            <v>101518399199</v>
          </cell>
          <cell r="I51" t="str">
            <v>6114379212</v>
          </cell>
          <cell r="J51" t="str">
            <v>HELPER</v>
          </cell>
          <cell r="K51" t="str">
            <v>AKBARPUR UDD LAKSAR</v>
          </cell>
          <cell r="L51" t="str">
            <v>AKBARPUR UDD LAKSAR</v>
          </cell>
          <cell r="M51">
            <v>45601</v>
          </cell>
        </row>
        <row r="52">
          <cell r="C52">
            <v>39</v>
          </cell>
          <cell r="D52">
            <v>99134670</v>
          </cell>
          <cell r="E52" t="str">
            <v>ASHISH KUMAR</v>
          </cell>
          <cell r="F52" t="str">
            <v>Male</v>
          </cell>
          <cell r="G52" t="str">
            <v>PARDEEP KUMAR</v>
          </cell>
          <cell r="H52" t="str">
            <v>102071110459</v>
          </cell>
          <cell r="I52" t="str">
            <v>6114222968</v>
          </cell>
          <cell r="J52" t="str">
            <v>HELPER</v>
          </cell>
          <cell r="K52" t="str">
            <v>BHURNI KHATIRPUR LAKSAR</v>
          </cell>
          <cell r="L52" t="str">
            <v>BHURNI KHATIRPUR LAKSAR</v>
          </cell>
          <cell r="M52">
            <v>45601</v>
          </cell>
        </row>
        <row r="53">
          <cell r="C53">
            <v>40</v>
          </cell>
          <cell r="D53">
            <v>99134827</v>
          </cell>
          <cell r="E53" t="str">
            <v>BINTU</v>
          </cell>
          <cell r="F53" t="str">
            <v>Male</v>
          </cell>
          <cell r="G53" t="str">
            <v>OMPAL</v>
          </cell>
          <cell r="H53" t="str">
            <v>101958527487</v>
          </cell>
          <cell r="I53" t="str">
            <v>6113712743</v>
          </cell>
          <cell r="J53" t="str">
            <v>HELPER</v>
          </cell>
          <cell r="K53" t="str">
            <v>NYANATPUR MIRZAPUR LAKSAR</v>
          </cell>
          <cell r="L53" t="str">
            <v>NYANATPUR MIRZAPUR LAKSAR</v>
          </cell>
          <cell r="M53">
            <v>45615</v>
          </cell>
        </row>
        <row r="54">
          <cell r="C54">
            <v>41</v>
          </cell>
          <cell r="D54">
            <v>99134829</v>
          </cell>
          <cell r="E54" t="str">
            <v>SAGAR KASHYAP</v>
          </cell>
          <cell r="F54" t="str">
            <v>Male</v>
          </cell>
          <cell r="G54" t="str">
            <v>SOMPAL KASHYAP</v>
          </cell>
          <cell r="H54" t="str">
            <v>102139425206</v>
          </cell>
          <cell r="I54" t="str">
            <v>6114402537</v>
          </cell>
          <cell r="J54" t="str">
            <v>HELPER</v>
          </cell>
          <cell r="K54" t="str">
            <v>VISHNU LOK COLONY LAKSAR</v>
          </cell>
          <cell r="L54" t="str">
            <v>VISHNU LOK COLONY LAKSAR</v>
          </cell>
          <cell r="M54">
            <v>45615</v>
          </cell>
        </row>
        <row r="55">
          <cell r="C55">
            <v>42</v>
          </cell>
          <cell r="D55">
            <v>99134835</v>
          </cell>
          <cell r="E55" t="str">
            <v>ABHISHEK</v>
          </cell>
          <cell r="F55" t="str">
            <v>Male</v>
          </cell>
          <cell r="G55" t="str">
            <v>PAPPU SINGH</v>
          </cell>
          <cell r="H55" t="str">
            <v>101815765465</v>
          </cell>
          <cell r="I55" t="str">
            <v>6114053041</v>
          </cell>
          <cell r="J55" t="str">
            <v>HELPER</v>
          </cell>
          <cell r="K55" t="str">
            <v>BHURNI KHATIRPUR LAKSAR</v>
          </cell>
          <cell r="L55" t="str">
            <v>BHURNI KHATIRPUR LAKSAR</v>
          </cell>
          <cell r="M55">
            <v>45615</v>
          </cell>
        </row>
        <row r="56">
          <cell r="C56">
            <v>43</v>
          </cell>
          <cell r="D56">
            <v>99134836</v>
          </cell>
          <cell r="E56" t="str">
            <v>SHAHAVAN</v>
          </cell>
          <cell r="F56" t="str">
            <v>Male</v>
          </cell>
          <cell r="G56" t="str">
            <v>MUSTAFA</v>
          </cell>
          <cell r="H56" t="str">
            <v>102139499693</v>
          </cell>
          <cell r="I56" t="str">
            <v>6114403152</v>
          </cell>
          <cell r="J56" t="str">
            <v>HELPER</v>
          </cell>
          <cell r="K56" t="str">
            <v>MOHMMADPURURF LAKSAR</v>
          </cell>
          <cell r="L56" t="str">
            <v>MOHMMADPURURF LAKSAR</v>
          </cell>
          <cell r="M56">
            <v>45615</v>
          </cell>
        </row>
        <row r="57">
          <cell r="C57">
            <v>44</v>
          </cell>
          <cell r="D57">
            <v>99123525</v>
          </cell>
          <cell r="E57" t="str">
            <v>VISHAL</v>
          </cell>
          <cell r="F57" t="str">
            <v>Male</v>
          </cell>
          <cell r="G57" t="str">
            <v>NARENDRA SINGH</v>
          </cell>
          <cell r="H57" t="str">
            <v>101755360660</v>
          </cell>
          <cell r="I57" t="str">
            <v>6114264835</v>
          </cell>
          <cell r="J57" t="str">
            <v>HELPER</v>
          </cell>
          <cell r="K57" t="str">
            <v>SIKARPUR LANDHAURA</v>
          </cell>
          <cell r="L57" t="str">
            <v>SIKARPUR LANDHAURA</v>
          </cell>
          <cell r="M57">
            <v>45623</v>
          </cell>
        </row>
        <row r="58">
          <cell r="C58">
            <v>45</v>
          </cell>
          <cell r="D58">
            <v>99135024</v>
          </cell>
          <cell r="E58" t="str">
            <v>YASHPAL</v>
          </cell>
          <cell r="F58" t="str">
            <v>Male</v>
          </cell>
          <cell r="G58" t="str">
            <v>NAKLI RAM</v>
          </cell>
          <cell r="H58" t="str">
            <v>101195070111</v>
          </cell>
          <cell r="I58" t="str">
            <v>6111611839</v>
          </cell>
          <cell r="J58" t="str">
            <v>HELPER</v>
          </cell>
          <cell r="K58" t="str">
            <v>BHARUWALA GOPRDHANPUR</v>
          </cell>
          <cell r="L58" t="str">
            <v>BHARUWALA GOPRDHANPUR</v>
          </cell>
          <cell r="M58">
            <v>45636</v>
          </cell>
        </row>
        <row r="59">
          <cell r="C59">
            <v>46</v>
          </cell>
          <cell r="D59">
            <v>99135028</v>
          </cell>
          <cell r="E59" t="str">
            <v>MOHAMMAD AHASAN</v>
          </cell>
          <cell r="F59" t="str">
            <v>Male</v>
          </cell>
          <cell r="G59" t="str">
            <v>HASAN</v>
          </cell>
          <cell r="H59" t="str">
            <v>101011530005</v>
          </cell>
          <cell r="I59" t="str">
            <v>6114370942</v>
          </cell>
          <cell r="J59" t="str">
            <v>HELPER</v>
          </cell>
          <cell r="K59" t="str">
            <v>LAKSARI LAKSAR</v>
          </cell>
          <cell r="L59" t="str">
            <v>LAKSARI LAKSAR</v>
          </cell>
          <cell r="M59">
            <v>45636</v>
          </cell>
        </row>
        <row r="60">
          <cell r="C60">
            <v>47</v>
          </cell>
          <cell r="D60">
            <v>99135274</v>
          </cell>
          <cell r="E60" t="str">
            <v>SACHIN</v>
          </cell>
          <cell r="F60" t="str">
            <v>Male</v>
          </cell>
          <cell r="G60" t="str">
            <v>KRISHNPAL</v>
          </cell>
          <cell r="H60" t="str">
            <v>100698184036</v>
          </cell>
          <cell r="I60" t="str">
            <v>6114464227</v>
          </cell>
          <cell r="J60" t="str">
            <v>HELPER</v>
          </cell>
          <cell r="K60" t="str">
            <v>PAUDOWALI, KANEWALI,RAISINGH LAKSAR</v>
          </cell>
          <cell r="L60" t="str">
            <v>PAUDOWALI, KANEWALI,RAISINGH LAKSAR</v>
          </cell>
          <cell r="M60">
            <v>45671</v>
          </cell>
        </row>
        <row r="61">
          <cell r="C61">
            <v>48</v>
          </cell>
          <cell r="D61">
            <v>99135605</v>
          </cell>
          <cell r="E61" t="str">
            <v>HUKUM SINGH</v>
          </cell>
          <cell r="F61" t="str">
            <v>Male</v>
          </cell>
          <cell r="G61" t="str">
            <v>SHYAM SINGH</v>
          </cell>
          <cell r="H61" t="str">
            <v>102090112067</v>
          </cell>
          <cell r="I61" t="str">
            <v>6114514919</v>
          </cell>
          <cell r="J61" t="str">
            <v>HELPER</v>
          </cell>
          <cell r="K61" t="str">
            <v>DABKI LAKSAR</v>
          </cell>
          <cell r="L61" t="str">
            <v>DABKI LAKSAR</v>
          </cell>
          <cell r="M61">
            <v>45724</v>
          </cell>
        </row>
        <row r="62">
          <cell r="C62">
            <v>49</v>
          </cell>
          <cell r="D62">
            <v>99135607</v>
          </cell>
          <cell r="E62" t="str">
            <v>HIMANSHU</v>
          </cell>
          <cell r="F62" t="str">
            <v>Male</v>
          </cell>
          <cell r="G62" t="str">
            <v>HUKUM SINGH</v>
          </cell>
          <cell r="H62" t="str">
            <v>102173302156</v>
          </cell>
          <cell r="I62" t="str">
            <v>6114516680</v>
          </cell>
          <cell r="J62" t="str">
            <v>HELPER</v>
          </cell>
          <cell r="K62" t="str">
            <v>DABKI KALAN LAKSAR</v>
          </cell>
          <cell r="L62" t="str">
            <v>DABKI KALAN LAKSAR</v>
          </cell>
          <cell r="M62">
            <v>45724</v>
          </cell>
        </row>
        <row r="63">
          <cell r="C63">
            <v>50</v>
          </cell>
          <cell r="D63">
            <v>99135611</v>
          </cell>
          <cell r="E63" t="str">
            <v>KULDEEP</v>
          </cell>
          <cell r="F63" t="str">
            <v>Male</v>
          </cell>
          <cell r="G63" t="str">
            <v>SUMMARA</v>
          </cell>
          <cell r="H63" t="str">
            <v>101426106691</v>
          </cell>
          <cell r="I63" t="str">
            <v>6114515249</v>
          </cell>
          <cell r="J63" t="str">
            <v>HELPER</v>
          </cell>
          <cell r="K63" t="str">
            <v>NYAMATPUR LAKSAR</v>
          </cell>
          <cell r="L63" t="str">
            <v>NYAMATPUR LAKSAR</v>
          </cell>
          <cell r="M63">
            <v>45724</v>
          </cell>
        </row>
        <row r="64">
          <cell r="C64">
            <v>51</v>
          </cell>
          <cell r="D64">
            <v>99135760</v>
          </cell>
          <cell r="E64" t="str">
            <v>DEVENDRA KUMAR</v>
          </cell>
          <cell r="F64" t="str">
            <v>Male</v>
          </cell>
          <cell r="G64" t="str">
            <v>DHARAMVEER</v>
          </cell>
          <cell r="H64" t="str">
            <v>100988958654</v>
          </cell>
          <cell r="I64" t="str">
            <v>6114572522</v>
          </cell>
          <cell r="J64" t="str">
            <v>HELPER</v>
          </cell>
          <cell r="K64" t="str">
            <v>LAKSAR LAKSAR</v>
          </cell>
          <cell r="L64" t="str">
            <v>LAKSAR LAKSAR</v>
          </cell>
          <cell r="M64">
            <v>45766</v>
          </cell>
        </row>
        <row r="65">
          <cell r="C65">
            <v>52</v>
          </cell>
          <cell r="D65">
            <v>72232205</v>
          </cell>
          <cell r="E65" t="str">
            <v>JAGENDRA</v>
          </cell>
          <cell r="F65" t="str">
            <v>Male</v>
          </cell>
          <cell r="G65" t="str">
            <v>AJAYPAL</v>
          </cell>
          <cell r="H65" t="str">
            <v>101358281203</v>
          </cell>
          <cell r="I65" t="str">
            <v>6113709313</v>
          </cell>
          <cell r="J65" t="str">
            <v/>
          </cell>
          <cell r="K65" t="str">
            <v xml:space="preserve">KUDI HABIB PUR </v>
          </cell>
          <cell r="L65" t="str">
            <v xml:space="preserve">KUDI HABIB PUR </v>
          </cell>
          <cell r="M65">
            <v>45097</v>
          </cell>
        </row>
        <row r="66">
          <cell r="C66">
            <v>53</v>
          </cell>
          <cell r="D66">
            <v>99124081</v>
          </cell>
          <cell r="E66" t="str">
            <v>AMIT KUMAR</v>
          </cell>
          <cell r="F66" t="str">
            <v>Male</v>
          </cell>
          <cell r="G66" t="str">
            <v>RAMPAL SINGH</v>
          </cell>
          <cell r="H66" t="str">
            <v>102209879690</v>
          </cell>
          <cell r="I66" t="str">
            <v>6114648760</v>
          </cell>
          <cell r="J66" t="str">
            <v>HELPER</v>
          </cell>
          <cell r="K66" t="str">
            <v>PODOWALI KANHEWALI LAKSAR</v>
          </cell>
          <cell r="L66" t="str">
            <v>PODOWALI KANHEWALI LAKSAR</v>
          </cell>
          <cell r="M66">
            <v>45826</v>
          </cell>
        </row>
        <row r="67">
          <cell r="C67">
            <v>54</v>
          </cell>
          <cell r="D67">
            <v>99124082</v>
          </cell>
          <cell r="E67" t="str">
            <v>JOGENDRA KUMAR</v>
          </cell>
          <cell r="F67" t="str">
            <v>Male</v>
          </cell>
          <cell r="G67" t="str">
            <v>KARM SINGH</v>
          </cell>
          <cell r="H67" t="str">
            <v>1022075110005</v>
          </cell>
          <cell r="I67" t="str">
            <v>6114643652</v>
          </cell>
          <cell r="J67" t="str">
            <v>HELPER</v>
          </cell>
          <cell r="K67" t="str">
            <v>KANEWALI RAISING RAISI</v>
          </cell>
          <cell r="L67" t="str">
            <v>KANEWALI RAISING RAISI</v>
          </cell>
          <cell r="M67">
            <v>45826</v>
          </cell>
        </row>
        <row r="68">
          <cell r="C68">
            <v>55</v>
          </cell>
          <cell r="D68">
            <v>99134610</v>
          </cell>
          <cell r="E68" t="str">
            <v>SHEKHAR</v>
          </cell>
          <cell r="F68" t="str">
            <v>Male</v>
          </cell>
          <cell r="G68" t="str">
            <v>UDESH</v>
          </cell>
          <cell r="H68" t="str">
            <v>101243458722</v>
          </cell>
          <cell r="I68" t="str">
            <v>6114366597</v>
          </cell>
          <cell r="J68" t="str">
            <v>HELPER</v>
          </cell>
          <cell r="K68" t="str">
            <v>KANEWALI LAKSAR</v>
          </cell>
          <cell r="L68" t="str">
            <v>KANEWALI LAKSAR</v>
          </cell>
          <cell r="M68">
            <v>45582</v>
          </cell>
        </row>
        <row r="69">
          <cell r="C69">
            <v>56</v>
          </cell>
          <cell r="D69">
            <v>99136181</v>
          </cell>
          <cell r="E69" t="str">
            <v>VISHAL</v>
          </cell>
          <cell r="F69" t="str">
            <v>Male</v>
          </cell>
          <cell r="G69" t="str">
            <v>VIJAY</v>
          </cell>
          <cell r="H69" t="str">
            <v>101886899685</v>
          </cell>
          <cell r="I69" t="str">
            <v>611456310885</v>
          </cell>
          <cell r="J69" t="str">
            <v>HELPER</v>
          </cell>
          <cell r="K69" t="str">
            <v>BHURNI KHATIRPUR LAKSAR</v>
          </cell>
          <cell r="L69" t="str">
            <v>BHURNI KHATIRPUR LAKSAR</v>
          </cell>
          <cell r="M69">
            <v>45815</v>
          </cell>
        </row>
        <row r="70">
          <cell r="C70">
            <v>57</v>
          </cell>
          <cell r="D70">
            <v>72222009</v>
          </cell>
          <cell r="E70" t="str">
            <v>ANKIT KUMAR</v>
          </cell>
          <cell r="F70" t="str">
            <v>Male</v>
          </cell>
          <cell r="G70" t="str">
            <v>DHARMVEER</v>
          </cell>
          <cell r="H70" t="str">
            <v/>
          </cell>
          <cell r="I70" t="str">
            <v>61111599833</v>
          </cell>
          <cell r="J70" t="str">
            <v/>
          </cell>
          <cell r="K70" t="str">
            <v xml:space="preserve">PUNDITPURI </v>
          </cell>
          <cell r="L70" t="str">
            <v xml:space="preserve">PUNDITPURI </v>
          </cell>
          <cell r="M70">
            <v>42937</v>
          </cell>
        </row>
        <row r="71">
          <cell r="C71">
            <v>58</v>
          </cell>
          <cell r="D71">
            <v>72232158</v>
          </cell>
          <cell r="E71" t="str">
            <v>KHILENDRA</v>
          </cell>
          <cell r="F71" t="str">
            <v>Male</v>
          </cell>
          <cell r="G71" t="str">
            <v>JUGDISH SINGH</v>
          </cell>
          <cell r="H71" t="str">
            <v>101277469285</v>
          </cell>
          <cell r="I71" t="str">
            <v>611159985</v>
          </cell>
          <cell r="J71" t="str">
            <v/>
          </cell>
          <cell r="K71" t="str">
            <v xml:space="preserve">KANEWALI </v>
          </cell>
          <cell r="L71" t="str">
            <v xml:space="preserve">KANEWALI </v>
          </cell>
          <cell r="M71">
            <v>44781</v>
          </cell>
        </row>
        <row r="72">
          <cell r="C72">
            <v>59</v>
          </cell>
          <cell r="D72">
            <v>99124196</v>
          </cell>
          <cell r="E72" t="str">
            <v>ROHIT</v>
          </cell>
          <cell r="F72" t="str">
            <v>Male</v>
          </cell>
          <cell r="G72" t="str">
            <v>RAM KARAN</v>
          </cell>
          <cell r="H72" t="str">
            <v>102214634718</v>
          </cell>
          <cell r="I72" t="str">
            <v>6114670376</v>
          </cell>
          <cell r="J72" t="str">
            <v>HELPER</v>
          </cell>
          <cell r="K72" t="str">
            <v>SIMLI LAKSAR</v>
          </cell>
          <cell r="L72" t="str">
            <v>SIMLI LAKSAR</v>
          </cell>
          <cell r="M72">
            <v>45850</v>
          </cell>
        </row>
        <row r="73">
          <cell r="C73">
            <v>60</v>
          </cell>
          <cell r="D73">
            <v>99124170</v>
          </cell>
          <cell r="E73" t="str">
            <v>GAURAV</v>
          </cell>
          <cell r="F73" t="str">
            <v>Male</v>
          </cell>
          <cell r="G73" t="str">
            <v>SARBOJ SINGH</v>
          </cell>
          <cell r="H73" t="str">
            <v>101454761820</v>
          </cell>
          <cell r="I73" t="str">
            <v>6114667529</v>
          </cell>
          <cell r="J73" t="str">
            <v>HELPER</v>
          </cell>
          <cell r="K73" t="str">
            <v>SEEMLI LAKSAR LAKSAR</v>
          </cell>
          <cell r="L73" t="str">
            <v>SEEMLI LAKSAR LAKSAR</v>
          </cell>
          <cell r="M73">
            <v>45843</v>
          </cell>
        </row>
        <row r="74">
          <cell r="C74">
            <v>61</v>
          </cell>
          <cell r="D74">
            <v>72232184</v>
          </cell>
          <cell r="E74" t="str">
            <v>BHAWAN SINGH</v>
          </cell>
          <cell r="F74" t="str">
            <v>Male</v>
          </cell>
          <cell r="G74" t="str">
            <v>HARPAL</v>
          </cell>
          <cell r="H74" t="str">
            <v>101929143239</v>
          </cell>
          <cell r="I74" t="str">
            <v>6113596771</v>
          </cell>
          <cell r="J74" t="str">
            <v>HELPER</v>
          </cell>
          <cell r="K74" t="str">
            <v>KHANIWALI, RAISI RAISI</v>
          </cell>
          <cell r="L74" t="str">
            <v>KHANIWALI, RAISI RAISI</v>
          </cell>
          <cell r="M74">
            <v>45615</v>
          </cell>
        </row>
        <row r="75">
          <cell r="C75">
            <v>62</v>
          </cell>
          <cell r="D75">
            <v>99124712</v>
          </cell>
          <cell r="E75" t="str">
            <v>AJAY</v>
          </cell>
          <cell r="F75" t="str">
            <v>Male</v>
          </cell>
          <cell r="G75" t="str">
            <v>ROSHAN</v>
          </cell>
          <cell r="H75" t="str">
            <v>102277278461</v>
          </cell>
          <cell r="I75" t="str">
            <v>6114823583</v>
          </cell>
          <cell r="J75" t="str">
            <v>HELPER</v>
          </cell>
          <cell r="K75" t="str">
            <v>GRAM ALLUWALA RAMRAJ JANSATH</v>
          </cell>
          <cell r="L75" t="str">
            <v>GRAM ALLUWALA RAMRAJ JANSATH</v>
          </cell>
          <cell r="M75">
            <v>46009</v>
          </cell>
        </row>
        <row r="76">
          <cell r="C76">
            <v>63</v>
          </cell>
          <cell r="D76">
            <v>99134845</v>
          </cell>
          <cell r="E76" t="str">
            <v>NAUSHAD</v>
          </cell>
          <cell r="F76" t="str">
            <v>Male</v>
          </cell>
          <cell r="G76" t="str">
            <v>SALEEM</v>
          </cell>
          <cell r="H76" t="str">
            <v>102120466436</v>
          </cell>
          <cell r="I76" t="str">
            <v>6114344115</v>
          </cell>
          <cell r="J76" t="str">
            <v>HELPER</v>
          </cell>
          <cell r="K76" t="str">
            <v>MOHAMMADPUR LAKSAR</v>
          </cell>
          <cell r="L76" t="str">
            <v>MOHAMMADPUR LAKSAR</v>
          </cell>
          <cell r="M76">
            <v>45616</v>
          </cell>
        </row>
        <row r="77">
          <cell r="C77">
            <v>64</v>
          </cell>
          <cell r="D77">
            <v>99134921</v>
          </cell>
          <cell r="E77" t="str">
            <v>AJAY KUMAR</v>
          </cell>
          <cell r="F77" t="str">
            <v>Male</v>
          </cell>
          <cell r="G77" t="str">
            <v>SANDEEP</v>
          </cell>
          <cell r="H77" t="str">
            <v>101891035575</v>
          </cell>
          <cell r="I77" t="str">
            <v>6114411742</v>
          </cell>
          <cell r="J77" t="str">
            <v>HELPER</v>
          </cell>
          <cell r="K77" t="str">
            <v>SIKANDERPUR PRAHLADPUR LAKSAR</v>
          </cell>
          <cell r="L77" t="str">
            <v>SIKANDERPUR PRAHLADPUR LAKSAR</v>
          </cell>
          <cell r="M77">
            <v>45623</v>
          </cell>
        </row>
        <row r="78">
          <cell r="C78">
            <v>65</v>
          </cell>
          <cell r="D78">
            <v>99135691</v>
          </cell>
          <cell r="E78" t="str">
            <v>RAKIB</v>
          </cell>
          <cell r="F78" t="str">
            <v>Male</v>
          </cell>
          <cell r="G78" t="str">
            <v>IRFAN</v>
          </cell>
          <cell r="H78" t="str">
            <v>102177219209</v>
          </cell>
          <cell r="I78" t="str">
            <v>6114527027</v>
          </cell>
          <cell r="J78" t="str">
            <v>HELPER</v>
          </cell>
          <cell r="K78" t="str">
            <v>KHARANJA LAKSAR</v>
          </cell>
          <cell r="L78" t="str">
            <v>KHARANJA LAKSAR</v>
          </cell>
          <cell r="M78">
            <v>45736</v>
          </cell>
        </row>
        <row r="79">
          <cell r="C79">
            <v>66</v>
          </cell>
          <cell r="D79">
            <v>99136279</v>
          </cell>
          <cell r="E79" t="str">
            <v>VISHAL KUMAR</v>
          </cell>
          <cell r="F79" t="str">
            <v>Male</v>
          </cell>
          <cell r="G79" t="str">
            <v>RAGHUVEER SINGH</v>
          </cell>
          <cell r="H79" t="str">
            <v>101815765052</v>
          </cell>
          <cell r="I79" t="str">
            <v>6113192193</v>
          </cell>
          <cell r="J79" t="str">
            <v>HELPER</v>
          </cell>
          <cell r="K79" t="str">
            <v>BHURNI KHADAR LAKSAR</v>
          </cell>
          <cell r="L79" t="str">
            <v>BHURNI KHADAR LAKSAR</v>
          </cell>
          <cell r="M79">
            <v>45826</v>
          </cell>
        </row>
        <row r="80">
          <cell r="C80">
            <v>67</v>
          </cell>
          <cell r="D80">
            <v>99136379</v>
          </cell>
          <cell r="E80" t="str">
            <v>ABHISHEK</v>
          </cell>
          <cell r="F80" t="str">
            <v>Male</v>
          </cell>
          <cell r="G80" t="str">
            <v>LEKHKHA</v>
          </cell>
          <cell r="H80" t="str">
            <v>101699337393</v>
          </cell>
          <cell r="I80" t="str">
            <v>6114656850</v>
          </cell>
          <cell r="J80" t="str">
            <v>HELPER</v>
          </cell>
          <cell r="K80" t="str">
            <v>BHURNI KHATIRPUR LAKSAR</v>
          </cell>
          <cell r="L80" t="str">
            <v>BHURNI KHATIRPUR LAKSAR</v>
          </cell>
          <cell r="M80">
            <v>45842</v>
          </cell>
        </row>
        <row r="81">
          <cell r="C81">
            <v>68</v>
          </cell>
          <cell r="D81">
            <v>99135240</v>
          </cell>
          <cell r="E81" t="str">
            <v>RAVI</v>
          </cell>
          <cell r="F81" t="str">
            <v>Male</v>
          </cell>
          <cell r="G81" t="str">
            <v>TARA CHAND</v>
          </cell>
          <cell r="H81" t="str">
            <v>102155529843</v>
          </cell>
          <cell r="I81" t="str">
            <v>6114464005</v>
          </cell>
          <cell r="J81" t="str">
            <v>HELPER</v>
          </cell>
          <cell r="K81" t="str">
            <v>AKBARPUR UDD LAKSAR</v>
          </cell>
          <cell r="L81" t="str">
            <v>AKBARPUR UDD LAKSAR</v>
          </cell>
          <cell r="M81">
            <v>45665</v>
          </cell>
        </row>
        <row r="82">
          <cell r="C82">
            <v>69</v>
          </cell>
          <cell r="D82">
            <v>99136381</v>
          </cell>
          <cell r="E82" t="str">
            <v>UJAYFA</v>
          </cell>
          <cell r="F82" t="str">
            <v>Male</v>
          </cell>
          <cell r="G82" t="str">
            <v>SABIR</v>
          </cell>
          <cell r="H82" t="str">
            <v>102211324433</v>
          </cell>
          <cell r="I82" t="str">
            <v>6114656562</v>
          </cell>
          <cell r="J82" t="str">
            <v>HELPER</v>
          </cell>
          <cell r="K82" t="str">
            <v>KHARANJA KUTUBPUR LAKSAR</v>
          </cell>
          <cell r="L82" t="str">
            <v>KHARANJA KUTUBPUR LAKSAR</v>
          </cell>
          <cell r="M82">
            <v>45842</v>
          </cell>
        </row>
        <row r="83">
          <cell r="C83">
            <v>70</v>
          </cell>
          <cell r="D83">
            <v>99136422</v>
          </cell>
          <cell r="E83" t="str">
            <v>SAURABH</v>
          </cell>
          <cell r="F83" t="str">
            <v>Male</v>
          </cell>
          <cell r="G83" t="str">
            <v>VIKRAM</v>
          </cell>
          <cell r="H83" t="str">
            <v>102211324446</v>
          </cell>
          <cell r="I83" t="str">
            <v>6114656561</v>
          </cell>
          <cell r="J83" t="str">
            <v>HELPER</v>
          </cell>
          <cell r="K83" t="str">
            <v>NYAMATPUR LAKSAR</v>
          </cell>
          <cell r="L83" t="str">
            <v>NYAMATPUR LAKSAR</v>
          </cell>
          <cell r="M83">
            <v>45850</v>
          </cell>
        </row>
        <row r="84">
          <cell r="C84">
            <v>71</v>
          </cell>
          <cell r="D84">
            <v>99136423</v>
          </cell>
          <cell r="E84" t="str">
            <v>DEEPAK</v>
          </cell>
          <cell r="F84" t="str">
            <v>Male</v>
          </cell>
          <cell r="G84" t="str">
            <v>NEKIRAM</v>
          </cell>
          <cell r="H84" t="str">
            <v>101880112879</v>
          </cell>
          <cell r="I84" t="str">
            <v>6114497975</v>
          </cell>
          <cell r="J84" t="str">
            <v>HELPER</v>
          </cell>
          <cell r="K84" t="str">
            <v>POUDOWALI RAISI</v>
          </cell>
          <cell r="L84" t="str">
            <v>POUDOWALI RAISI</v>
          </cell>
          <cell r="M84">
            <v>45850</v>
          </cell>
        </row>
        <row r="85">
          <cell r="C85">
            <v>72</v>
          </cell>
          <cell r="D85">
            <v>99124414</v>
          </cell>
          <cell r="E85" t="str">
            <v>ADESH</v>
          </cell>
          <cell r="F85" t="str">
            <v>Male</v>
          </cell>
          <cell r="G85" t="str">
            <v>BALWANT SINGH</v>
          </cell>
          <cell r="H85" t="str">
            <v>101193921718</v>
          </cell>
          <cell r="I85" t="str">
            <v>6114662696</v>
          </cell>
          <cell r="J85" t="str">
            <v>HELPER</v>
          </cell>
          <cell r="K85" t="str">
            <v>NAYAMATPUR LAKSAR</v>
          </cell>
          <cell r="L85" t="str">
            <v>NAYAMATPUR LAKSAR</v>
          </cell>
          <cell r="M85">
            <v>45904</v>
          </cell>
        </row>
        <row r="86">
          <cell r="C86">
            <v>73</v>
          </cell>
          <cell r="D86">
            <v>99134665</v>
          </cell>
          <cell r="E86" t="str">
            <v>VIMAL</v>
          </cell>
          <cell r="F86" t="str">
            <v>Male</v>
          </cell>
          <cell r="G86" t="str">
            <v>BABLU</v>
          </cell>
          <cell r="H86" t="str">
            <v>101335636012</v>
          </cell>
          <cell r="I86" t="str">
            <v>6114372620</v>
          </cell>
          <cell r="J86" t="str">
            <v>HELPER</v>
          </cell>
          <cell r="K86" t="str">
            <v>BHURNI KHATIRPUR LAKSAR</v>
          </cell>
          <cell r="L86" t="str">
            <v>BHURNI KHATIRPUR LAKSAR</v>
          </cell>
          <cell r="M86">
            <v>45601</v>
          </cell>
        </row>
        <row r="87">
          <cell r="C87">
            <v>74</v>
          </cell>
          <cell r="D87">
            <v>99134789</v>
          </cell>
          <cell r="E87" t="str">
            <v>NARENDER SINGH</v>
          </cell>
          <cell r="F87" t="str">
            <v>Male</v>
          </cell>
          <cell r="G87" t="str">
            <v>NOURATU</v>
          </cell>
          <cell r="H87" t="str">
            <v>102138312749</v>
          </cell>
          <cell r="I87" t="str">
            <v>6114395428</v>
          </cell>
          <cell r="J87" t="str">
            <v>HELPER</v>
          </cell>
          <cell r="K87" t="str">
            <v>AKODHA KALAN LAKSAR</v>
          </cell>
          <cell r="L87" t="str">
            <v>AKODHA KALAN LAKSAR</v>
          </cell>
          <cell r="M87">
            <v>45610</v>
          </cell>
        </row>
        <row r="88">
          <cell r="C88">
            <v>75</v>
          </cell>
          <cell r="D88">
            <v>99136626</v>
          </cell>
          <cell r="E88" t="str">
            <v>ABHISHEK KUMAR</v>
          </cell>
          <cell r="F88" t="str">
            <v>Male</v>
          </cell>
          <cell r="G88" t="str">
            <v>RAJPAL SINGH</v>
          </cell>
          <cell r="H88" t="str">
            <v>102238929336</v>
          </cell>
          <cell r="I88" t="str">
            <v>6114726154</v>
          </cell>
          <cell r="J88" t="str">
            <v>HELPER</v>
          </cell>
          <cell r="K88" t="str">
            <v>KANEWALI RAISING RAISI</v>
          </cell>
          <cell r="L88" t="str">
            <v>KANEWALI RAISING RAISI</v>
          </cell>
          <cell r="M88">
            <v>45899</v>
          </cell>
        </row>
        <row r="89">
          <cell r="C89">
            <v>76</v>
          </cell>
          <cell r="D89">
            <v>99136729</v>
          </cell>
          <cell r="E89" t="str">
            <v>PARSHANT</v>
          </cell>
          <cell r="F89" t="str">
            <v>Male</v>
          </cell>
          <cell r="G89" t="str">
            <v>CHOTE LAL</v>
          </cell>
          <cell r="H89" t="str">
            <v>102236743417</v>
          </cell>
          <cell r="I89" t="str">
            <v>6114747995</v>
          </cell>
          <cell r="J89" t="str">
            <v>HELPER</v>
          </cell>
          <cell r="K89" t="str">
            <v>BHURNI KHATIRPUR LAKSAR</v>
          </cell>
          <cell r="L89" t="str">
            <v>BHURNI KHATIRPUR LAKSAR</v>
          </cell>
          <cell r="M89">
            <v>45919</v>
          </cell>
        </row>
        <row r="90">
          <cell r="C90">
            <v>77</v>
          </cell>
          <cell r="D90">
            <v>99124713</v>
          </cell>
          <cell r="E90" t="str">
            <v>FIDDA HUSSAIN</v>
          </cell>
          <cell r="F90" t="str">
            <v>Male</v>
          </cell>
          <cell r="G90" t="str">
            <v>NOOR MOHAMMAD</v>
          </cell>
          <cell r="H90" t="str">
            <v>101624515319</v>
          </cell>
          <cell r="I90" t="str">
            <v>6114805831</v>
          </cell>
          <cell r="J90" t="str">
            <v>HELPER</v>
          </cell>
          <cell r="K90" t="str">
            <v>ADARSH COLONY LAKSAR LAKSAR</v>
          </cell>
          <cell r="L90" t="str">
            <v>ADARSH COLONY LAKSAR LAKSAR</v>
          </cell>
          <cell r="M90">
            <v>46009</v>
          </cell>
        </row>
        <row r="91">
          <cell r="C91">
            <v>78</v>
          </cell>
          <cell r="D91">
            <v>72232107</v>
          </cell>
          <cell r="E91" t="str">
            <v>SANJU</v>
          </cell>
          <cell r="F91" t="str">
            <v>Male</v>
          </cell>
          <cell r="G91" t="str">
            <v>OMPAL</v>
          </cell>
          <cell r="H91" t="str">
            <v>101092821625</v>
          </cell>
          <cell r="I91" t="str">
            <v>61120600380</v>
          </cell>
          <cell r="J91" t="str">
            <v>HELPER</v>
          </cell>
          <cell r="K91" t="str">
            <v>AKBARPUR UDD LAKSAR</v>
          </cell>
          <cell r="L91" t="str">
            <v>AKBARPUR UDD LAKSAR</v>
          </cell>
          <cell r="M91">
            <v>45661</v>
          </cell>
        </row>
        <row r="92">
          <cell r="C92">
            <v>79</v>
          </cell>
          <cell r="D92">
            <v>99134082</v>
          </cell>
          <cell r="E92" t="str">
            <v>ROHIT KUMAR</v>
          </cell>
          <cell r="F92" t="str">
            <v>Male</v>
          </cell>
          <cell r="G92" t="str">
            <v>SATPAL</v>
          </cell>
          <cell r="H92" t="str">
            <v>101231646396</v>
          </cell>
          <cell r="I92" t="str">
            <v>6113595074</v>
          </cell>
          <cell r="J92" t="str">
            <v>HELPER</v>
          </cell>
          <cell r="K92" t="str">
            <v>KANEWALI RAISINGH RAISI</v>
          </cell>
          <cell r="L92" t="str">
            <v>KANEWALI RAISINGH RAISI</v>
          </cell>
          <cell r="M92">
            <v>45490</v>
          </cell>
        </row>
        <row r="93">
          <cell r="C93">
            <v>80</v>
          </cell>
          <cell r="D93">
            <v>99136892</v>
          </cell>
          <cell r="E93" t="str">
            <v>BHOPINDRA</v>
          </cell>
          <cell r="F93" t="str">
            <v>Male</v>
          </cell>
          <cell r="G93" t="str">
            <v>GIRIRAJ</v>
          </cell>
          <cell r="H93" t="str">
            <v>1012161071554</v>
          </cell>
          <cell r="I93" t="str">
            <v>6114479383</v>
          </cell>
          <cell r="J93" t="str">
            <v>HELPER</v>
          </cell>
          <cell r="K93" t="str">
            <v>ALLUWALA RAMRAJ</v>
          </cell>
          <cell r="L93" t="str">
            <v>ALLUWALA RAMRAJ</v>
          </cell>
          <cell r="M93">
            <v>45964</v>
          </cell>
        </row>
        <row r="94">
          <cell r="C94">
            <v>81</v>
          </cell>
          <cell r="D94">
            <v>99134846</v>
          </cell>
          <cell r="E94" t="str">
            <v>VASEEM</v>
          </cell>
          <cell r="F94" t="str">
            <v>Male</v>
          </cell>
          <cell r="G94" t="str">
            <v>ANEES</v>
          </cell>
          <cell r="H94" t="str">
            <v>102049753967</v>
          </cell>
          <cell r="I94" t="str">
            <v>6114344112</v>
          </cell>
          <cell r="J94" t="str">
            <v>HELPER</v>
          </cell>
          <cell r="K94" t="str">
            <v>NAGLA KHURD ROORKEE</v>
          </cell>
          <cell r="L94" t="str">
            <v>NAGLA KHURD ROORKEE</v>
          </cell>
          <cell r="M94">
            <v>45616</v>
          </cell>
        </row>
        <row r="95">
          <cell r="C95">
            <v>82</v>
          </cell>
          <cell r="D95">
            <v>99135486</v>
          </cell>
          <cell r="E95" t="str">
            <v>BRIJESH</v>
          </cell>
          <cell r="F95" t="str">
            <v>Male</v>
          </cell>
          <cell r="G95" t="str">
            <v>MANGERAM</v>
          </cell>
          <cell r="H95" t="str">
            <v>101339667245</v>
          </cell>
          <cell r="I95" t="str">
            <v>6114502496</v>
          </cell>
          <cell r="J95" t="str">
            <v>HELPER</v>
          </cell>
          <cell r="K95" t="str">
            <v>KELVAPURI NIRJANPUR LAKSAR</v>
          </cell>
          <cell r="L95" t="str">
            <v>KELVAPURI NIRJANPUR LAKSAR</v>
          </cell>
          <cell r="M95">
            <v>45705</v>
          </cell>
        </row>
        <row r="96">
          <cell r="C96">
            <v>83</v>
          </cell>
          <cell r="D96">
            <v>99135487</v>
          </cell>
          <cell r="E96" t="str">
            <v>RAJAN</v>
          </cell>
          <cell r="F96" t="str">
            <v>Male</v>
          </cell>
          <cell r="G96" t="str">
            <v>VINOD</v>
          </cell>
          <cell r="H96" t="str">
            <v>101926812249</v>
          </cell>
          <cell r="I96" t="str">
            <v>6114502513</v>
          </cell>
          <cell r="J96" t="str">
            <v>HELPER</v>
          </cell>
          <cell r="K96" t="str">
            <v>KEWALPURI NIRANJANPUR LAKSAR</v>
          </cell>
          <cell r="L96" t="str">
            <v>KEWALPURI NIRANJANPUR LAKSAR</v>
          </cell>
          <cell r="M96">
            <v>45705</v>
          </cell>
        </row>
        <row r="97">
          <cell r="C97">
            <v>84</v>
          </cell>
          <cell r="D97">
            <v>99135488</v>
          </cell>
          <cell r="E97" t="str">
            <v>KULDEEP</v>
          </cell>
          <cell r="F97" t="str">
            <v>Male</v>
          </cell>
          <cell r="G97" t="str">
            <v>SANTRAM</v>
          </cell>
          <cell r="H97" t="str">
            <v>101274358252</v>
          </cell>
          <cell r="I97" t="str">
            <v>6114412595</v>
          </cell>
          <cell r="J97" t="str">
            <v>HELPER</v>
          </cell>
          <cell r="K97" t="str">
            <v>BILASPUR LAKSAR</v>
          </cell>
          <cell r="L97" t="str">
            <v>BILASPUR LAKSAR</v>
          </cell>
          <cell r="M97">
            <v>45705</v>
          </cell>
        </row>
        <row r="98">
          <cell r="C98">
            <v>85</v>
          </cell>
          <cell r="D98">
            <v>99135489</v>
          </cell>
          <cell r="E98" t="str">
            <v>NITIN KUMAR</v>
          </cell>
          <cell r="F98" t="str">
            <v>Male</v>
          </cell>
          <cell r="G98" t="str">
            <v>MOHAN</v>
          </cell>
          <cell r="H98" t="str">
            <v>102007137172</v>
          </cell>
          <cell r="I98" t="str">
            <v>6114502506</v>
          </cell>
          <cell r="J98" t="str">
            <v>HELPER</v>
          </cell>
          <cell r="K98" t="str">
            <v>BRAHMPUR LAKSAR</v>
          </cell>
          <cell r="L98" t="str">
            <v>BRAHMPUR LAKSAR</v>
          </cell>
          <cell r="M98">
            <v>45705</v>
          </cell>
        </row>
        <row r="99">
          <cell r="C99">
            <v>86</v>
          </cell>
          <cell r="D99">
            <v>99135608</v>
          </cell>
          <cell r="E99" t="str">
            <v>AASHIPH</v>
          </cell>
          <cell r="F99" t="str">
            <v>Male</v>
          </cell>
          <cell r="G99" t="str">
            <v>MAHMOOD</v>
          </cell>
          <cell r="H99" t="str">
            <v>102175321290</v>
          </cell>
          <cell r="I99" t="str">
            <v>6114522023</v>
          </cell>
          <cell r="J99" t="str">
            <v>HELPER</v>
          </cell>
          <cell r="K99" t="str">
            <v>ALWALPUR BHIKKAMPUR</v>
          </cell>
          <cell r="L99" t="str">
            <v>ALWALPUR BHIKKAMPUR</v>
          </cell>
          <cell r="M99">
            <v>45724</v>
          </cell>
        </row>
        <row r="100">
          <cell r="C100">
            <v>87</v>
          </cell>
          <cell r="D100">
            <v>99135775</v>
          </cell>
          <cell r="E100" t="str">
            <v>JAVED</v>
          </cell>
          <cell r="F100" t="str">
            <v>Male</v>
          </cell>
          <cell r="G100" t="str">
            <v>RAFIQ KHAN</v>
          </cell>
          <cell r="H100" t="str">
            <v>101452905055</v>
          </cell>
          <cell r="I100" t="str">
            <v>6114554227</v>
          </cell>
          <cell r="J100" t="str">
            <v>HELPER</v>
          </cell>
          <cell r="K100" t="str">
            <v>NAUROZPUR LAKSAR</v>
          </cell>
          <cell r="L100" t="str">
            <v>NAUROZPUR LAKSAR</v>
          </cell>
          <cell r="M100">
            <v>45768</v>
          </cell>
        </row>
        <row r="101">
          <cell r="C101">
            <v>88</v>
          </cell>
          <cell r="D101">
            <v>99135798</v>
          </cell>
          <cell r="E101" t="str">
            <v>AJAY</v>
          </cell>
          <cell r="F101" t="str">
            <v>Male</v>
          </cell>
          <cell r="G101" t="str">
            <v>JODHA</v>
          </cell>
          <cell r="H101" t="str">
            <v>102189307340</v>
          </cell>
          <cell r="I101" t="str">
            <v>6114574501</v>
          </cell>
          <cell r="J101" t="str">
            <v>HELPER</v>
          </cell>
          <cell r="K101" t="str">
            <v>MANDLA MANDLA</v>
          </cell>
          <cell r="L101" t="str">
            <v>MANDLA MANDLA</v>
          </cell>
          <cell r="M101">
            <v>45773</v>
          </cell>
        </row>
        <row r="102">
          <cell r="C102">
            <v>89</v>
          </cell>
          <cell r="D102">
            <v>99135878</v>
          </cell>
          <cell r="E102" t="str">
            <v>ABHISHEK</v>
          </cell>
          <cell r="F102" t="str">
            <v>Male</v>
          </cell>
          <cell r="G102" t="str">
            <v>OMPAL</v>
          </cell>
          <cell r="H102" t="str">
            <v>102061133133</v>
          </cell>
          <cell r="I102" t="str">
            <v>6114424253</v>
          </cell>
          <cell r="J102" t="str">
            <v>HELPER</v>
          </cell>
          <cell r="K102" t="str">
            <v>KANEWALI RAISINGH LAKSAR</v>
          </cell>
          <cell r="L102" t="str">
            <v>KANEWALI RAISINGH LAKSAR</v>
          </cell>
          <cell r="M102">
            <v>45786</v>
          </cell>
        </row>
        <row r="103">
          <cell r="C103">
            <v>90</v>
          </cell>
          <cell r="D103">
            <v>99137166</v>
          </cell>
          <cell r="E103" t="str">
            <v>NITU SINGH</v>
          </cell>
          <cell r="F103" t="str">
            <v>Male</v>
          </cell>
          <cell r="G103" t="str">
            <v>RISHIPAL</v>
          </cell>
          <cell r="H103" t="str">
            <v>102272469017</v>
          </cell>
          <cell r="I103" t="str">
            <v>6114814152</v>
          </cell>
          <cell r="J103" t="str">
            <v>HELPER</v>
          </cell>
          <cell r="K103" t="str">
            <v>MIRZAPUR SADAT LAKSAR</v>
          </cell>
          <cell r="L103" t="str">
            <v>MIRZAPUR SADAT LAKSAR</v>
          </cell>
          <cell r="M103">
            <v>45994</v>
          </cell>
        </row>
        <row r="104">
          <cell r="C104">
            <v>91</v>
          </cell>
          <cell r="D104">
            <v>99137260</v>
          </cell>
          <cell r="E104" t="str">
            <v>AIJAJ</v>
          </cell>
          <cell r="F104" t="str">
            <v>Male</v>
          </cell>
          <cell r="G104" t="str">
            <v>JIVAN</v>
          </cell>
          <cell r="H104" t="str">
            <v>101879916017</v>
          </cell>
          <cell r="I104" t="str">
            <v>6114823580</v>
          </cell>
          <cell r="J104" t="str">
            <v>HELPER</v>
          </cell>
          <cell r="K104" t="str">
            <v>NAROJPUR LAKSAR</v>
          </cell>
          <cell r="L104" t="str">
            <v>NAROJPUR LAKSAR</v>
          </cell>
          <cell r="M104">
            <v>46006</v>
          </cell>
        </row>
        <row r="105">
          <cell r="C105">
            <v>92</v>
          </cell>
          <cell r="D105">
            <v>99137261</v>
          </cell>
          <cell r="E105" t="str">
            <v>VIKKI</v>
          </cell>
          <cell r="F105" t="str">
            <v>Male</v>
          </cell>
          <cell r="G105" t="str">
            <v>MANGERAM</v>
          </cell>
          <cell r="H105" t="str">
            <v>102201595943</v>
          </cell>
          <cell r="I105" t="str">
            <v>6114816632</v>
          </cell>
          <cell r="J105" t="str">
            <v>HELPER</v>
          </cell>
          <cell r="K105" t="str">
            <v>NAYAMATPUR LAKSAR</v>
          </cell>
          <cell r="L105" t="str">
            <v>NAYAMATPUR LAKSAR</v>
          </cell>
          <cell r="M105">
            <v>46006</v>
          </cell>
        </row>
        <row r="106">
          <cell r="C106">
            <v>93</v>
          </cell>
          <cell r="D106">
            <v>99137262</v>
          </cell>
          <cell r="E106" t="str">
            <v>SHOYAB ALI</v>
          </cell>
          <cell r="F106" t="str">
            <v>Male</v>
          </cell>
          <cell r="G106" t="str">
            <v>SHER ALI</v>
          </cell>
          <cell r="H106" t="str">
            <v>102167018557</v>
          </cell>
          <cell r="I106" t="str">
            <v>6114824367</v>
          </cell>
          <cell r="J106" t="str">
            <v>HELPER</v>
          </cell>
          <cell r="K106" t="str">
            <v>LAKSARI LAKSAR</v>
          </cell>
          <cell r="L106" t="str">
            <v>LAKSARI LAKSAR</v>
          </cell>
          <cell r="M106">
            <v>46006</v>
          </cell>
        </row>
        <row r="107">
          <cell r="C107">
            <v>94</v>
          </cell>
        </row>
        <row r="108">
          <cell r="C108">
            <v>95</v>
          </cell>
        </row>
        <row r="109">
          <cell r="C109">
            <v>96</v>
          </cell>
        </row>
        <row r="110">
          <cell r="C110">
            <v>97</v>
          </cell>
        </row>
        <row r="111">
          <cell r="C111">
            <v>98</v>
          </cell>
        </row>
        <row r="112">
          <cell r="C112">
            <v>99</v>
          </cell>
        </row>
        <row r="113">
          <cell r="C113">
            <v>100</v>
          </cell>
        </row>
        <row r="114">
          <cell r="C114">
            <v>101</v>
          </cell>
        </row>
        <row r="115">
          <cell r="C115">
            <v>102</v>
          </cell>
        </row>
        <row r="116">
          <cell r="C116">
            <v>103</v>
          </cell>
        </row>
        <row r="117">
          <cell r="C117">
            <v>104</v>
          </cell>
        </row>
        <row r="118">
          <cell r="C118">
            <v>105</v>
          </cell>
        </row>
        <row r="119">
          <cell r="C119">
            <v>106</v>
          </cell>
        </row>
        <row r="120">
          <cell r="C120">
            <v>107</v>
          </cell>
        </row>
        <row r="121">
          <cell r="C121">
            <v>108</v>
          </cell>
        </row>
        <row r="122">
          <cell r="C122">
            <v>109</v>
          </cell>
        </row>
        <row r="123">
          <cell r="C123">
            <v>110</v>
          </cell>
        </row>
        <row r="124">
          <cell r="C124">
            <v>111</v>
          </cell>
        </row>
        <row r="125">
          <cell r="C125">
            <v>112</v>
          </cell>
        </row>
        <row r="126">
          <cell r="C126">
            <v>113</v>
          </cell>
        </row>
        <row r="127">
          <cell r="C127">
            <v>114</v>
          </cell>
        </row>
        <row r="128">
          <cell r="C128">
            <v>115</v>
          </cell>
        </row>
        <row r="129">
          <cell r="C129">
            <v>116</v>
          </cell>
        </row>
        <row r="130">
          <cell r="C130">
            <v>117</v>
          </cell>
        </row>
        <row r="131">
          <cell r="C131">
            <v>118</v>
          </cell>
        </row>
        <row r="132">
          <cell r="C132">
            <v>119</v>
          </cell>
        </row>
        <row r="133">
          <cell r="C133">
            <v>120</v>
          </cell>
        </row>
        <row r="134">
          <cell r="C134">
            <v>121</v>
          </cell>
        </row>
        <row r="135">
          <cell r="C135">
            <v>122</v>
          </cell>
        </row>
        <row r="136">
          <cell r="C136">
            <v>123</v>
          </cell>
        </row>
        <row r="137">
          <cell r="C137">
            <v>124</v>
          </cell>
        </row>
        <row r="138">
          <cell r="C138">
            <v>125</v>
          </cell>
        </row>
        <row r="139">
          <cell r="C139">
            <v>126</v>
          </cell>
        </row>
        <row r="140">
          <cell r="C140">
            <v>127</v>
          </cell>
        </row>
        <row r="141">
          <cell r="C141">
            <v>128</v>
          </cell>
        </row>
        <row r="142">
          <cell r="C142">
            <v>129</v>
          </cell>
        </row>
        <row r="143">
          <cell r="C143">
            <v>130</v>
          </cell>
        </row>
        <row r="144">
          <cell r="C144">
            <v>131</v>
          </cell>
        </row>
        <row r="145">
          <cell r="C145">
            <v>132</v>
          </cell>
        </row>
        <row r="146">
          <cell r="C146">
            <v>133</v>
          </cell>
        </row>
        <row r="147">
          <cell r="C147">
            <v>134</v>
          </cell>
        </row>
        <row r="148">
          <cell r="C148">
            <v>135</v>
          </cell>
        </row>
        <row r="149">
          <cell r="C149">
            <v>136</v>
          </cell>
        </row>
        <row r="150">
          <cell r="C150">
            <v>137</v>
          </cell>
        </row>
        <row r="151">
          <cell r="C151">
            <v>138</v>
          </cell>
        </row>
        <row r="152">
          <cell r="C152">
            <v>139</v>
          </cell>
        </row>
        <row r="153">
          <cell r="C153">
            <v>140</v>
          </cell>
        </row>
        <row r="154">
          <cell r="C154">
            <v>141</v>
          </cell>
        </row>
        <row r="155">
          <cell r="C155">
            <v>142</v>
          </cell>
        </row>
        <row r="156">
          <cell r="C156">
            <v>143</v>
          </cell>
        </row>
        <row r="157">
          <cell r="C157">
            <v>144</v>
          </cell>
        </row>
        <row r="158">
          <cell r="C158">
            <v>145</v>
          </cell>
        </row>
        <row r="159">
          <cell r="C159">
            <v>146</v>
          </cell>
        </row>
        <row r="160">
          <cell r="C160">
            <v>147</v>
          </cell>
        </row>
        <row r="161">
          <cell r="C161">
            <v>148</v>
          </cell>
        </row>
        <row r="162">
          <cell r="C162">
            <v>149</v>
          </cell>
        </row>
        <row r="163">
          <cell r="C163">
            <v>150</v>
          </cell>
        </row>
        <row r="164">
          <cell r="C164">
            <v>151</v>
          </cell>
        </row>
        <row r="165">
          <cell r="C165">
            <v>152</v>
          </cell>
        </row>
        <row r="166">
          <cell r="C166">
            <v>153</v>
          </cell>
        </row>
        <row r="167">
          <cell r="C167">
            <v>154</v>
          </cell>
        </row>
        <row r="168">
          <cell r="C168">
            <v>155</v>
          </cell>
        </row>
        <row r="169">
          <cell r="C169">
            <v>156</v>
          </cell>
        </row>
        <row r="170">
          <cell r="C170">
            <v>157</v>
          </cell>
        </row>
        <row r="171">
          <cell r="C171">
            <v>158</v>
          </cell>
        </row>
        <row r="172">
          <cell r="C172">
            <v>159</v>
          </cell>
        </row>
        <row r="173">
          <cell r="C173">
            <v>160</v>
          </cell>
        </row>
        <row r="174">
          <cell r="C174">
            <v>161</v>
          </cell>
        </row>
        <row r="175">
          <cell r="C175">
            <v>162</v>
          </cell>
        </row>
        <row r="176">
          <cell r="C176">
            <v>163</v>
          </cell>
        </row>
        <row r="177">
          <cell r="C177">
            <v>164</v>
          </cell>
        </row>
        <row r="178">
          <cell r="C178">
            <v>165</v>
          </cell>
        </row>
        <row r="179">
          <cell r="C179">
            <v>166</v>
          </cell>
        </row>
        <row r="180">
          <cell r="C180">
            <v>167</v>
          </cell>
        </row>
        <row r="181">
          <cell r="C181">
            <v>168</v>
          </cell>
        </row>
        <row r="182">
          <cell r="C182">
            <v>169</v>
          </cell>
        </row>
        <row r="183">
          <cell r="C183">
            <v>170</v>
          </cell>
        </row>
        <row r="184">
          <cell r="C184">
            <v>171</v>
          </cell>
        </row>
        <row r="185">
          <cell r="C185">
            <v>172</v>
          </cell>
        </row>
        <row r="186">
          <cell r="C186">
            <v>173</v>
          </cell>
        </row>
        <row r="187">
          <cell r="C187">
            <v>174</v>
          </cell>
        </row>
        <row r="188">
          <cell r="C188">
            <v>175</v>
          </cell>
        </row>
        <row r="189">
          <cell r="C189">
            <v>176</v>
          </cell>
        </row>
        <row r="190">
          <cell r="C190">
            <v>177</v>
          </cell>
        </row>
        <row r="191">
          <cell r="C191">
            <v>178</v>
          </cell>
        </row>
        <row r="192">
          <cell r="C192">
            <v>179</v>
          </cell>
        </row>
        <row r="193">
          <cell r="C193">
            <v>180</v>
          </cell>
        </row>
        <row r="194">
          <cell r="C194">
            <v>181</v>
          </cell>
        </row>
        <row r="195">
          <cell r="C195">
            <v>182</v>
          </cell>
        </row>
        <row r="196">
          <cell r="C196">
            <v>183</v>
          </cell>
        </row>
        <row r="197">
          <cell r="C197">
            <v>184</v>
          </cell>
        </row>
        <row r="198">
          <cell r="C198">
            <v>185</v>
          </cell>
        </row>
        <row r="199">
          <cell r="C199">
            <v>186</v>
          </cell>
        </row>
        <row r="200">
          <cell r="C200">
            <v>187</v>
          </cell>
        </row>
        <row r="201">
          <cell r="C201">
            <v>188</v>
          </cell>
        </row>
        <row r="202">
          <cell r="C202">
            <v>189</v>
          </cell>
        </row>
        <row r="203">
          <cell r="C203">
            <v>190</v>
          </cell>
        </row>
        <row r="204">
          <cell r="C204">
            <v>191</v>
          </cell>
        </row>
        <row r="205">
          <cell r="C205">
            <v>192</v>
          </cell>
        </row>
        <row r="206">
          <cell r="C206">
            <v>193</v>
          </cell>
        </row>
        <row r="207">
          <cell r="C207">
            <v>194</v>
          </cell>
        </row>
        <row r="208">
          <cell r="C208">
            <v>195</v>
          </cell>
        </row>
        <row r="209">
          <cell r="C209">
            <v>196</v>
          </cell>
        </row>
        <row r="210">
          <cell r="C210">
            <v>197</v>
          </cell>
        </row>
        <row r="211">
          <cell r="C211">
            <v>198</v>
          </cell>
        </row>
        <row r="212">
          <cell r="C212">
            <v>199</v>
          </cell>
        </row>
        <row r="213">
          <cell r="C213">
            <v>200</v>
          </cell>
        </row>
        <row r="214">
          <cell r="C214">
            <v>201</v>
          </cell>
        </row>
        <row r="215">
          <cell r="C215">
            <v>202</v>
          </cell>
        </row>
        <row r="216">
          <cell r="C216">
            <v>203</v>
          </cell>
        </row>
        <row r="217">
          <cell r="C217">
            <v>204</v>
          </cell>
        </row>
        <row r="218">
          <cell r="C218">
            <v>205</v>
          </cell>
        </row>
        <row r="219">
          <cell r="C219">
            <v>206</v>
          </cell>
        </row>
        <row r="220">
          <cell r="C220">
            <v>207</v>
          </cell>
        </row>
        <row r="221">
          <cell r="C221">
            <v>208</v>
          </cell>
        </row>
        <row r="222">
          <cell r="C222">
            <v>209</v>
          </cell>
        </row>
        <row r="223">
          <cell r="C223">
            <v>210</v>
          </cell>
        </row>
        <row r="224">
          <cell r="C224">
            <v>211</v>
          </cell>
        </row>
        <row r="225">
          <cell r="C225">
            <v>212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55962-7E73-4F15-89B7-531F221A88A7}">
  <sheetPr>
    <tabColor rgb="FFFFFF00"/>
  </sheetPr>
  <dimension ref="A1:M1724"/>
  <sheetViews>
    <sheetView tabSelected="1" view="pageBreakPreview" topLeftCell="A1488" zoomScale="98" zoomScaleNormal="100" zoomScaleSheetLayoutView="98" workbookViewId="0">
      <selection activeCell="L1454" sqref="L1454"/>
    </sheetView>
  </sheetViews>
  <sheetFormatPr defaultColWidth="8" defaultRowHeight="10.199999999999999" x14ac:dyDescent="0.2"/>
  <cols>
    <col min="1" max="1" width="2" style="48" customWidth="1"/>
    <col min="2" max="2" width="33.44140625" style="43" customWidth="1"/>
    <col min="3" max="6" width="8" style="3" customWidth="1"/>
    <col min="7" max="7" width="8.21875" style="3" customWidth="1"/>
    <col min="8" max="8" width="5" style="3" customWidth="1"/>
    <col min="9" max="9" width="1" style="2" customWidth="1"/>
    <col min="10" max="10" width="2.77734375" style="2" customWidth="1"/>
    <col min="11" max="256" width="8" style="2"/>
    <col min="257" max="257" width="2" style="2" customWidth="1"/>
    <col min="258" max="258" width="33.44140625" style="2" customWidth="1"/>
    <col min="259" max="262" width="8" style="2"/>
    <col min="263" max="263" width="8.21875" style="2" customWidth="1"/>
    <col min="264" max="264" width="5" style="2" customWidth="1"/>
    <col min="265" max="265" width="1" style="2" customWidth="1"/>
    <col min="266" max="266" width="2.77734375" style="2" customWidth="1"/>
    <col min="267" max="512" width="8" style="2"/>
    <col min="513" max="513" width="2" style="2" customWidth="1"/>
    <col min="514" max="514" width="33.44140625" style="2" customWidth="1"/>
    <col min="515" max="518" width="8" style="2"/>
    <col min="519" max="519" width="8.21875" style="2" customWidth="1"/>
    <col min="520" max="520" width="5" style="2" customWidth="1"/>
    <col min="521" max="521" width="1" style="2" customWidth="1"/>
    <col min="522" max="522" width="2.77734375" style="2" customWidth="1"/>
    <col min="523" max="768" width="8" style="2"/>
    <col min="769" max="769" width="2" style="2" customWidth="1"/>
    <col min="770" max="770" width="33.44140625" style="2" customWidth="1"/>
    <col min="771" max="774" width="8" style="2"/>
    <col min="775" max="775" width="8.21875" style="2" customWidth="1"/>
    <col min="776" max="776" width="5" style="2" customWidth="1"/>
    <col min="777" max="777" width="1" style="2" customWidth="1"/>
    <col min="778" max="778" width="2.77734375" style="2" customWidth="1"/>
    <col min="779" max="1024" width="8" style="2"/>
    <col min="1025" max="1025" width="2" style="2" customWidth="1"/>
    <col min="1026" max="1026" width="33.44140625" style="2" customWidth="1"/>
    <col min="1027" max="1030" width="8" style="2"/>
    <col min="1031" max="1031" width="8.21875" style="2" customWidth="1"/>
    <col min="1032" max="1032" width="5" style="2" customWidth="1"/>
    <col min="1033" max="1033" width="1" style="2" customWidth="1"/>
    <col min="1034" max="1034" width="2.77734375" style="2" customWidth="1"/>
    <col min="1035" max="1280" width="8" style="2"/>
    <col min="1281" max="1281" width="2" style="2" customWidth="1"/>
    <col min="1282" max="1282" width="33.44140625" style="2" customWidth="1"/>
    <col min="1283" max="1286" width="8" style="2"/>
    <col min="1287" max="1287" width="8.21875" style="2" customWidth="1"/>
    <col min="1288" max="1288" width="5" style="2" customWidth="1"/>
    <col min="1289" max="1289" width="1" style="2" customWidth="1"/>
    <col min="1290" max="1290" width="2.77734375" style="2" customWidth="1"/>
    <col min="1291" max="1536" width="8" style="2"/>
    <col min="1537" max="1537" width="2" style="2" customWidth="1"/>
    <col min="1538" max="1538" width="33.44140625" style="2" customWidth="1"/>
    <col min="1539" max="1542" width="8" style="2"/>
    <col min="1543" max="1543" width="8.21875" style="2" customWidth="1"/>
    <col min="1544" max="1544" width="5" style="2" customWidth="1"/>
    <col min="1545" max="1545" width="1" style="2" customWidth="1"/>
    <col min="1546" max="1546" width="2.77734375" style="2" customWidth="1"/>
    <col min="1547" max="1792" width="8" style="2"/>
    <col min="1793" max="1793" width="2" style="2" customWidth="1"/>
    <col min="1794" max="1794" width="33.44140625" style="2" customWidth="1"/>
    <col min="1795" max="1798" width="8" style="2"/>
    <col min="1799" max="1799" width="8.21875" style="2" customWidth="1"/>
    <col min="1800" max="1800" width="5" style="2" customWidth="1"/>
    <col min="1801" max="1801" width="1" style="2" customWidth="1"/>
    <col min="1802" max="1802" width="2.77734375" style="2" customWidth="1"/>
    <col min="1803" max="2048" width="8" style="2"/>
    <col min="2049" max="2049" width="2" style="2" customWidth="1"/>
    <col min="2050" max="2050" width="33.44140625" style="2" customWidth="1"/>
    <col min="2051" max="2054" width="8" style="2"/>
    <col min="2055" max="2055" width="8.21875" style="2" customWidth="1"/>
    <col min="2056" max="2056" width="5" style="2" customWidth="1"/>
    <col min="2057" max="2057" width="1" style="2" customWidth="1"/>
    <col min="2058" max="2058" width="2.77734375" style="2" customWidth="1"/>
    <col min="2059" max="2304" width="8" style="2"/>
    <col min="2305" max="2305" width="2" style="2" customWidth="1"/>
    <col min="2306" max="2306" width="33.44140625" style="2" customWidth="1"/>
    <col min="2307" max="2310" width="8" style="2"/>
    <col min="2311" max="2311" width="8.21875" style="2" customWidth="1"/>
    <col min="2312" max="2312" width="5" style="2" customWidth="1"/>
    <col min="2313" max="2313" width="1" style="2" customWidth="1"/>
    <col min="2314" max="2314" width="2.77734375" style="2" customWidth="1"/>
    <col min="2315" max="2560" width="8" style="2"/>
    <col min="2561" max="2561" width="2" style="2" customWidth="1"/>
    <col min="2562" max="2562" width="33.44140625" style="2" customWidth="1"/>
    <col min="2563" max="2566" width="8" style="2"/>
    <col min="2567" max="2567" width="8.21875" style="2" customWidth="1"/>
    <col min="2568" max="2568" width="5" style="2" customWidth="1"/>
    <col min="2569" max="2569" width="1" style="2" customWidth="1"/>
    <col min="2570" max="2570" width="2.77734375" style="2" customWidth="1"/>
    <col min="2571" max="2816" width="8" style="2"/>
    <col min="2817" max="2817" width="2" style="2" customWidth="1"/>
    <col min="2818" max="2818" width="33.44140625" style="2" customWidth="1"/>
    <col min="2819" max="2822" width="8" style="2"/>
    <col min="2823" max="2823" width="8.21875" style="2" customWidth="1"/>
    <col min="2824" max="2824" width="5" style="2" customWidth="1"/>
    <col min="2825" max="2825" width="1" style="2" customWidth="1"/>
    <col min="2826" max="2826" width="2.77734375" style="2" customWidth="1"/>
    <col min="2827" max="3072" width="8" style="2"/>
    <col min="3073" max="3073" width="2" style="2" customWidth="1"/>
    <col min="3074" max="3074" width="33.44140625" style="2" customWidth="1"/>
    <col min="3075" max="3078" width="8" style="2"/>
    <col min="3079" max="3079" width="8.21875" style="2" customWidth="1"/>
    <col min="3080" max="3080" width="5" style="2" customWidth="1"/>
    <col min="3081" max="3081" width="1" style="2" customWidth="1"/>
    <col min="3082" max="3082" width="2.77734375" style="2" customWidth="1"/>
    <col min="3083" max="3328" width="8" style="2"/>
    <col min="3329" max="3329" width="2" style="2" customWidth="1"/>
    <col min="3330" max="3330" width="33.44140625" style="2" customWidth="1"/>
    <col min="3331" max="3334" width="8" style="2"/>
    <col min="3335" max="3335" width="8.21875" style="2" customWidth="1"/>
    <col min="3336" max="3336" width="5" style="2" customWidth="1"/>
    <col min="3337" max="3337" width="1" style="2" customWidth="1"/>
    <col min="3338" max="3338" width="2.77734375" style="2" customWidth="1"/>
    <col min="3339" max="3584" width="8" style="2"/>
    <col min="3585" max="3585" width="2" style="2" customWidth="1"/>
    <col min="3586" max="3586" width="33.44140625" style="2" customWidth="1"/>
    <col min="3587" max="3590" width="8" style="2"/>
    <col min="3591" max="3591" width="8.21875" style="2" customWidth="1"/>
    <col min="3592" max="3592" width="5" style="2" customWidth="1"/>
    <col min="3593" max="3593" width="1" style="2" customWidth="1"/>
    <col min="3594" max="3594" width="2.77734375" style="2" customWidth="1"/>
    <col min="3595" max="3840" width="8" style="2"/>
    <col min="3841" max="3841" width="2" style="2" customWidth="1"/>
    <col min="3842" max="3842" width="33.44140625" style="2" customWidth="1"/>
    <col min="3843" max="3846" width="8" style="2"/>
    <col min="3847" max="3847" width="8.21875" style="2" customWidth="1"/>
    <col min="3848" max="3848" width="5" style="2" customWidth="1"/>
    <col min="3849" max="3849" width="1" style="2" customWidth="1"/>
    <col min="3850" max="3850" width="2.77734375" style="2" customWidth="1"/>
    <col min="3851" max="4096" width="8" style="2"/>
    <col min="4097" max="4097" width="2" style="2" customWidth="1"/>
    <col min="4098" max="4098" width="33.44140625" style="2" customWidth="1"/>
    <col min="4099" max="4102" width="8" style="2"/>
    <col min="4103" max="4103" width="8.21875" style="2" customWidth="1"/>
    <col min="4104" max="4104" width="5" style="2" customWidth="1"/>
    <col min="4105" max="4105" width="1" style="2" customWidth="1"/>
    <col min="4106" max="4106" width="2.77734375" style="2" customWidth="1"/>
    <col min="4107" max="4352" width="8" style="2"/>
    <col min="4353" max="4353" width="2" style="2" customWidth="1"/>
    <col min="4354" max="4354" width="33.44140625" style="2" customWidth="1"/>
    <col min="4355" max="4358" width="8" style="2"/>
    <col min="4359" max="4359" width="8.21875" style="2" customWidth="1"/>
    <col min="4360" max="4360" width="5" style="2" customWidth="1"/>
    <col min="4361" max="4361" width="1" style="2" customWidth="1"/>
    <col min="4362" max="4362" width="2.77734375" style="2" customWidth="1"/>
    <col min="4363" max="4608" width="8" style="2"/>
    <col min="4609" max="4609" width="2" style="2" customWidth="1"/>
    <col min="4610" max="4610" width="33.44140625" style="2" customWidth="1"/>
    <col min="4611" max="4614" width="8" style="2"/>
    <col min="4615" max="4615" width="8.21875" style="2" customWidth="1"/>
    <col min="4616" max="4616" width="5" style="2" customWidth="1"/>
    <col min="4617" max="4617" width="1" style="2" customWidth="1"/>
    <col min="4618" max="4618" width="2.77734375" style="2" customWidth="1"/>
    <col min="4619" max="4864" width="8" style="2"/>
    <col min="4865" max="4865" width="2" style="2" customWidth="1"/>
    <col min="4866" max="4866" width="33.44140625" style="2" customWidth="1"/>
    <col min="4867" max="4870" width="8" style="2"/>
    <col min="4871" max="4871" width="8.21875" style="2" customWidth="1"/>
    <col min="4872" max="4872" width="5" style="2" customWidth="1"/>
    <col min="4873" max="4873" width="1" style="2" customWidth="1"/>
    <col min="4874" max="4874" width="2.77734375" style="2" customWidth="1"/>
    <col min="4875" max="5120" width="8" style="2"/>
    <col min="5121" max="5121" width="2" style="2" customWidth="1"/>
    <col min="5122" max="5122" width="33.44140625" style="2" customWidth="1"/>
    <col min="5123" max="5126" width="8" style="2"/>
    <col min="5127" max="5127" width="8.21875" style="2" customWidth="1"/>
    <col min="5128" max="5128" width="5" style="2" customWidth="1"/>
    <col min="5129" max="5129" width="1" style="2" customWidth="1"/>
    <col min="5130" max="5130" width="2.77734375" style="2" customWidth="1"/>
    <col min="5131" max="5376" width="8" style="2"/>
    <col min="5377" max="5377" width="2" style="2" customWidth="1"/>
    <col min="5378" max="5378" width="33.44140625" style="2" customWidth="1"/>
    <col min="5379" max="5382" width="8" style="2"/>
    <col min="5383" max="5383" width="8.21875" style="2" customWidth="1"/>
    <col min="5384" max="5384" width="5" style="2" customWidth="1"/>
    <col min="5385" max="5385" width="1" style="2" customWidth="1"/>
    <col min="5386" max="5386" width="2.77734375" style="2" customWidth="1"/>
    <col min="5387" max="5632" width="8" style="2"/>
    <col min="5633" max="5633" width="2" style="2" customWidth="1"/>
    <col min="5634" max="5634" width="33.44140625" style="2" customWidth="1"/>
    <col min="5635" max="5638" width="8" style="2"/>
    <col min="5639" max="5639" width="8.21875" style="2" customWidth="1"/>
    <col min="5640" max="5640" width="5" style="2" customWidth="1"/>
    <col min="5641" max="5641" width="1" style="2" customWidth="1"/>
    <col min="5642" max="5642" width="2.77734375" style="2" customWidth="1"/>
    <col min="5643" max="5888" width="8" style="2"/>
    <col min="5889" max="5889" width="2" style="2" customWidth="1"/>
    <col min="5890" max="5890" width="33.44140625" style="2" customWidth="1"/>
    <col min="5891" max="5894" width="8" style="2"/>
    <col min="5895" max="5895" width="8.21875" style="2" customWidth="1"/>
    <col min="5896" max="5896" width="5" style="2" customWidth="1"/>
    <col min="5897" max="5897" width="1" style="2" customWidth="1"/>
    <col min="5898" max="5898" width="2.77734375" style="2" customWidth="1"/>
    <col min="5899" max="6144" width="8" style="2"/>
    <col min="6145" max="6145" width="2" style="2" customWidth="1"/>
    <col min="6146" max="6146" width="33.44140625" style="2" customWidth="1"/>
    <col min="6147" max="6150" width="8" style="2"/>
    <col min="6151" max="6151" width="8.21875" style="2" customWidth="1"/>
    <col min="6152" max="6152" width="5" style="2" customWidth="1"/>
    <col min="6153" max="6153" width="1" style="2" customWidth="1"/>
    <col min="6154" max="6154" width="2.77734375" style="2" customWidth="1"/>
    <col min="6155" max="6400" width="8" style="2"/>
    <col min="6401" max="6401" width="2" style="2" customWidth="1"/>
    <col min="6402" max="6402" width="33.44140625" style="2" customWidth="1"/>
    <col min="6403" max="6406" width="8" style="2"/>
    <col min="6407" max="6407" width="8.21875" style="2" customWidth="1"/>
    <col min="6408" max="6408" width="5" style="2" customWidth="1"/>
    <col min="6409" max="6409" width="1" style="2" customWidth="1"/>
    <col min="6410" max="6410" width="2.77734375" style="2" customWidth="1"/>
    <col min="6411" max="6656" width="8" style="2"/>
    <col min="6657" max="6657" width="2" style="2" customWidth="1"/>
    <col min="6658" max="6658" width="33.44140625" style="2" customWidth="1"/>
    <col min="6659" max="6662" width="8" style="2"/>
    <col min="6663" max="6663" width="8.21875" style="2" customWidth="1"/>
    <col min="6664" max="6664" width="5" style="2" customWidth="1"/>
    <col min="6665" max="6665" width="1" style="2" customWidth="1"/>
    <col min="6666" max="6666" width="2.77734375" style="2" customWidth="1"/>
    <col min="6667" max="6912" width="8" style="2"/>
    <col min="6913" max="6913" width="2" style="2" customWidth="1"/>
    <col min="6914" max="6914" width="33.44140625" style="2" customWidth="1"/>
    <col min="6915" max="6918" width="8" style="2"/>
    <col min="6919" max="6919" width="8.21875" style="2" customWidth="1"/>
    <col min="6920" max="6920" width="5" style="2" customWidth="1"/>
    <col min="6921" max="6921" width="1" style="2" customWidth="1"/>
    <col min="6922" max="6922" width="2.77734375" style="2" customWidth="1"/>
    <col min="6923" max="7168" width="8" style="2"/>
    <col min="7169" max="7169" width="2" style="2" customWidth="1"/>
    <col min="7170" max="7170" width="33.44140625" style="2" customWidth="1"/>
    <col min="7171" max="7174" width="8" style="2"/>
    <col min="7175" max="7175" width="8.21875" style="2" customWidth="1"/>
    <col min="7176" max="7176" width="5" style="2" customWidth="1"/>
    <col min="7177" max="7177" width="1" style="2" customWidth="1"/>
    <col min="7178" max="7178" width="2.77734375" style="2" customWidth="1"/>
    <col min="7179" max="7424" width="8" style="2"/>
    <col min="7425" max="7425" width="2" style="2" customWidth="1"/>
    <col min="7426" max="7426" width="33.44140625" style="2" customWidth="1"/>
    <col min="7427" max="7430" width="8" style="2"/>
    <col min="7431" max="7431" width="8.21875" style="2" customWidth="1"/>
    <col min="7432" max="7432" width="5" style="2" customWidth="1"/>
    <col min="7433" max="7433" width="1" style="2" customWidth="1"/>
    <col min="7434" max="7434" width="2.77734375" style="2" customWidth="1"/>
    <col min="7435" max="7680" width="8" style="2"/>
    <col min="7681" max="7681" width="2" style="2" customWidth="1"/>
    <col min="7682" max="7682" width="33.44140625" style="2" customWidth="1"/>
    <col min="7683" max="7686" width="8" style="2"/>
    <col min="7687" max="7687" width="8.21875" style="2" customWidth="1"/>
    <col min="7688" max="7688" width="5" style="2" customWidth="1"/>
    <col min="7689" max="7689" width="1" style="2" customWidth="1"/>
    <col min="7690" max="7690" width="2.77734375" style="2" customWidth="1"/>
    <col min="7691" max="7936" width="8" style="2"/>
    <col min="7937" max="7937" width="2" style="2" customWidth="1"/>
    <col min="7938" max="7938" width="33.44140625" style="2" customWidth="1"/>
    <col min="7939" max="7942" width="8" style="2"/>
    <col min="7943" max="7943" width="8.21875" style="2" customWidth="1"/>
    <col min="7944" max="7944" width="5" style="2" customWidth="1"/>
    <col min="7945" max="7945" width="1" style="2" customWidth="1"/>
    <col min="7946" max="7946" width="2.77734375" style="2" customWidth="1"/>
    <col min="7947" max="8192" width="8" style="2"/>
    <col min="8193" max="8193" width="2" style="2" customWidth="1"/>
    <col min="8194" max="8194" width="33.44140625" style="2" customWidth="1"/>
    <col min="8195" max="8198" width="8" style="2"/>
    <col min="8199" max="8199" width="8.21875" style="2" customWidth="1"/>
    <col min="8200" max="8200" width="5" style="2" customWidth="1"/>
    <col min="8201" max="8201" width="1" style="2" customWidth="1"/>
    <col min="8202" max="8202" width="2.77734375" style="2" customWidth="1"/>
    <col min="8203" max="8448" width="8" style="2"/>
    <col min="8449" max="8449" width="2" style="2" customWidth="1"/>
    <col min="8450" max="8450" width="33.44140625" style="2" customWidth="1"/>
    <col min="8451" max="8454" width="8" style="2"/>
    <col min="8455" max="8455" width="8.21875" style="2" customWidth="1"/>
    <col min="8456" max="8456" width="5" style="2" customWidth="1"/>
    <col min="8457" max="8457" width="1" style="2" customWidth="1"/>
    <col min="8458" max="8458" width="2.77734375" style="2" customWidth="1"/>
    <col min="8459" max="8704" width="8" style="2"/>
    <col min="8705" max="8705" width="2" style="2" customWidth="1"/>
    <col min="8706" max="8706" width="33.44140625" style="2" customWidth="1"/>
    <col min="8707" max="8710" width="8" style="2"/>
    <col min="8711" max="8711" width="8.21875" style="2" customWidth="1"/>
    <col min="8712" max="8712" width="5" style="2" customWidth="1"/>
    <col min="8713" max="8713" width="1" style="2" customWidth="1"/>
    <col min="8714" max="8714" width="2.77734375" style="2" customWidth="1"/>
    <col min="8715" max="8960" width="8" style="2"/>
    <col min="8961" max="8961" width="2" style="2" customWidth="1"/>
    <col min="8962" max="8962" width="33.44140625" style="2" customWidth="1"/>
    <col min="8963" max="8966" width="8" style="2"/>
    <col min="8967" max="8967" width="8.21875" style="2" customWidth="1"/>
    <col min="8968" max="8968" width="5" style="2" customWidth="1"/>
    <col min="8969" max="8969" width="1" style="2" customWidth="1"/>
    <col min="8970" max="8970" width="2.77734375" style="2" customWidth="1"/>
    <col min="8971" max="9216" width="8" style="2"/>
    <col min="9217" max="9217" width="2" style="2" customWidth="1"/>
    <col min="9218" max="9218" width="33.44140625" style="2" customWidth="1"/>
    <col min="9219" max="9222" width="8" style="2"/>
    <col min="9223" max="9223" width="8.21875" style="2" customWidth="1"/>
    <col min="9224" max="9224" width="5" style="2" customWidth="1"/>
    <col min="9225" max="9225" width="1" style="2" customWidth="1"/>
    <col min="9226" max="9226" width="2.77734375" style="2" customWidth="1"/>
    <col min="9227" max="9472" width="8" style="2"/>
    <col min="9473" max="9473" width="2" style="2" customWidth="1"/>
    <col min="9474" max="9474" width="33.44140625" style="2" customWidth="1"/>
    <col min="9475" max="9478" width="8" style="2"/>
    <col min="9479" max="9479" width="8.21875" style="2" customWidth="1"/>
    <col min="9480" max="9480" width="5" style="2" customWidth="1"/>
    <col min="9481" max="9481" width="1" style="2" customWidth="1"/>
    <col min="9482" max="9482" width="2.77734375" style="2" customWidth="1"/>
    <col min="9483" max="9728" width="8" style="2"/>
    <col min="9729" max="9729" width="2" style="2" customWidth="1"/>
    <col min="9730" max="9730" width="33.44140625" style="2" customWidth="1"/>
    <col min="9731" max="9734" width="8" style="2"/>
    <col min="9735" max="9735" width="8.21875" style="2" customWidth="1"/>
    <col min="9736" max="9736" width="5" style="2" customWidth="1"/>
    <col min="9737" max="9737" width="1" style="2" customWidth="1"/>
    <col min="9738" max="9738" width="2.77734375" style="2" customWidth="1"/>
    <col min="9739" max="9984" width="8" style="2"/>
    <col min="9985" max="9985" width="2" style="2" customWidth="1"/>
    <col min="9986" max="9986" width="33.44140625" style="2" customWidth="1"/>
    <col min="9987" max="9990" width="8" style="2"/>
    <col min="9991" max="9991" width="8.21875" style="2" customWidth="1"/>
    <col min="9992" max="9992" width="5" style="2" customWidth="1"/>
    <col min="9993" max="9993" width="1" style="2" customWidth="1"/>
    <col min="9994" max="9994" width="2.77734375" style="2" customWidth="1"/>
    <col min="9995" max="10240" width="8" style="2"/>
    <col min="10241" max="10241" width="2" style="2" customWidth="1"/>
    <col min="10242" max="10242" width="33.44140625" style="2" customWidth="1"/>
    <col min="10243" max="10246" width="8" style="2"/>
    <col min="10247" max="10247" width="8.21875" style="2" customWidth="1"/>
    <col min="10248" max="10248" width="5" style="2" customWidth="1"/>
    <col min="10249" max="10249" width="1" style="2" customWidth="1"/>
    <col min="10250" max="10250" width="2.77734375" style="2" customWidth="1"/>
    <col min="10251" max="10496" width="8" style="2"/>
    <col min="10497" max="10497" width="2" style="2" customWidth="1"/>
    <col min="10498" max="10498" width="33.44140625" style="2" customWidth="1"/>
    <col min="10499" max="10502" width="8" style="2"/>
    <col min="10503" max="10503" width="8.21875" style="2" customWidth="1"/>
    <col min="10504" max="10504" width="5" style="2" customWidth="1"/>
    <col min="10505" max="10505" width="1" style="2" customWidth="1"/>
    <col min="10506" max="10506" width="2.77734375" style="2" customWidth="1"/>
    <col min="10507" max="10752" width="8" style="2"/>
    <col min="10753" max="10753" width="2" style="2" customWidth="1"/>
    <col min="10754" max="10754" width="33.44140625" style="2" customWidth="1"/>
    <col min="10755" max="10758" width="8" style="2"/>
    <col min="10759" max="10759" width="8.21875" style="2" customWidth="1"/>
    <col min="10760" max="10760" width="5" style="2" customWidth="1"/>
    <col min="10761" max="10761" width="1" style="2" customWidth="1"/>
    <col min="10762" max="10762" width="2.77734375" style="2" customWidth="1"/>
    <col min="10763" max="11008" width="8" style="2"/>
    <col min="11009" max="11009" width="2" style="2" customWidth="1"/>
    <col min="11010" max="11010" width="33.44140625" style="2" customWidth="1"/>
    <col min="11011" max="11014" width="8" style="2"/>
    <col min="11015" max="11015" width="8.21875" style="2" customWidth="1"/>
    <col min="11016" max="11016" width="5" style="2" customWidth="1"/>
    <col min="11017" max="11017" width="1" style="2" customWidth="1"/>
    <col min="11018" max="11018" width="2.77734375" style="2" customWidth="1"/>
    <col min="11019" max="11264" width="8" style="2"/>
    <col min="11265" max="11265" width="2" style="2" customWidth="1"/>
    <col min="11266" max="11266" width="33.44140625" style="2" customWidth="1"/>
    <col min="11267" max="11270" width="8" style="2"/>
    <col min="11271" max="11271" width="8.21875" style="2" customWidth="1"/>
    <col min="11272" max="11272" width="5" style="2" customWidth="1"/>
    <col min="11273" max="11273" width="1" style="2" customWidth="1"/>
    <col min="11274" max="11274" width="2.77734375" style="2" customWidth="1"/>
    <col min="11275" max="11520" width="8" style="2"/>
    <col min="11521" max="11521" width="2" style="2" customWidth="1"/>
    <col min="11522" max="11522" width="33.44140625" style="2" customWidth="1"/>
    <col min="11523" max="11526" width="8" style="2"/>
    <col min="11527" max="11527" width="8.21875" style="2" customWidth="1"/>
    <col min="11528" max="11528" width="5" style="2" customWidth="1"/>
    <col min="11529" max="11529" width="1" style="2" customWidth="1"/>
    <col min="11530" max="11530" width="2.77734375" style="2" customWidth="1"/>
    <col min="11531" max="11776" width="8" style="2"/>
    <col min="11777" max="11777" width="2" style="2" customWidth="1"/>
    <col min="11778" max="11778" width="33.44140625" style="2" customWidth="1"/>
    <col min="11779" max="11782" width="8" style="2"/>
    <col min="11783" max="11783" width="8.21875" style="2" customWidth="1"/>
    <col min="11784" max="11784" width="5" style="2" customWidth="1"/>
    <col min="11785" max="11785" width="1" style="2" customWidth="1"/>
    <col min="11786" max="11786" width="2.77734375" style="2" customWidth="1"/>
    <col min="11787" max="12032" width="8" style="2"/>
    <col min="12033" max="12033" width="2" style="2" customWidth="1"/>
    <col min="12034" max="12034" width="33.44140625" style="2" customWidth="1"/>
    <col min="12035" max="12038" width="8" style="2"/>
    <col min="12039" max="12039" width="8.21875" style="2" customWidth="1"/>
    <col min="12040" max="12040" width="5" style="2" customWidth="1"/>
    <col min="12041" max="12041" width="1" style="2" customWidth="1"/>
    <col min="12042" max="12042" width="2.77734375" style="2" customWidth="1"/>
    <col min="12043" max="12288" width="8" style="2"/>
    <col min="12289" max="12289" width="2" style="2" customWidth="1"/>
    <col min="12290" max="12290" width="33.44140625" style="2" customWidth="1"/>
    <col min="12291" max="12294" width="8" style="2"/>
    <col min="12295" max="12295" width="8.21875" style="2" customWidth="1"/>
    <col min="12296" max="12296" width="5" style="2" customWidth="1"/>
    <col min="12297" max="12297" width="1" style="2" customWidth="1"/>
    <col min="12298" max="12298" width="2.77734375" style="2" customWidth="1"/>
    <col min="12299" max="12544" width="8" style="2"/>
    <col min="12545" max="12545" width="2" style="2" customWidth="1"/>
    <col min="12546" max="12546" width="33.44140625" style="2" customWidth="1"/>
    <col min="12547" max="12550" width="8" style="2"/>
    <col min="12551" max="12551" width="8.21875" style="2" customWidth="1"/>
    <col min="12552" max="12552" width="5" style="2" customWidth="1"/>
    <col min="12553" max="12553" width="1" style="2" customWidth="1"/>
    <col min="12554" max="12554" width="2.77734375" style="2" customWidth="1"/>
    <col min="12555" max="12800" width="8" style="2"/>
    <col min="12801" max="12801" width="2" style="2" customWidth="1"/>
    <col min="12802" max="12802" width="33.44140625" style="2" customWidth="1"/>
    <col min="12803" max="12806" width="8" style="2"/>
    <col min="12807" max="12807" width="8.21875" style="2" customWidth="1"/>
    <col min="12808" max="12808" width="5" style="2" customWidth="1"/>
    <col min="12809" max="12809" width="1" style="2" customWidth="1"/>
    <col min="12810" max="12810" width="2.77734375" style="2" customWidth="1"/>
    <col min="12811" max="13056" width="8" style="2"/>
    <col min="13057" max="13057" width="2" style="2" customWidth="1"/>
    <col min="13058" max="13058" width="33.44140625" style="2" customWidth="1"/>
    <col min="13059" max="13062" width="8" style="2"/>
    <col min="13063" max="13063" width="8.21875" style="2" customWidth="1"/>
    <col min="13064" max="13064" width="5" style="2" customWidth="1"/>
    <col min="13065" max="13065" width="1" style="2" customWidth="1"/>
    <col min="13066" max="13066" width="2.77734375" style="2" customWidth="1"/>
    <col min="13067" max="13312" width="8" style="2"/>
    <col min="13313" max="13313" width="2" style="2" customWidth="1"/>
    <col min="13314" max="13314" width="33.44140625" style="2" customWidth="1"/>
    <col min="13315" max="13318" width="8" style="2"/>
    <col min="13319" max="13319" width="8.21875" style="2" customWidth="1"/>
    <col min="13320" max="13320" width="5" style="2" customWidth="1"/>
    <col min="13321" max="13321" width="1" style="2" customWidth="1"/>
    <col min="13322" max="13322" width="2.77734375" style="2" customWidth="1"/>
    <col min="13323" max="13568" width="8" style="2"/>
    <col min="13569" max="13569" width="2" style="2" customWidth="1"/>
    <col min="13570" max="13570" width="33.44140625" style="2" customWidth="1"/>
    <col min="13571" max="13574" width="8" style="2"/>
    <col min="13575" max="13575" width="8.21875" style="2" customWidth="1"/>
    <col min="13576" max="13576" width="5" style="2" customWidth="1"/>
    <col min="13577" max="13577" width="1" style="2" customWidth="1"/>
    <col min="13578" max="13578" width="2.77734375" style="2" customWidth="1"/>
    <col min="13579" max="13824" width="8" style="2"/>
    <col min="13825" max="13825" width="2" style="2" customWidth="1"/>
    <col min="13826" max="13826" width="33.44140625" style="2" customWidth="1"/>
    <col min="13827" max="13830" width="8" style="2"/>
    <col min="13831" max="13831" width="8.21875" style="2" customWidth="1"/>
    <col min="13832" max="13832" width="5" style="2" customWidth="1"/>
    <col min="13833" max="13833" width="1" style="2" customWidth="1"/>
    <col min="13834" max="13834" width="2.77734375" style="2" customWidth="1"/>
    <col min="13835" max="14080" width="8" style="2"/>
    <col min="14081" max="14081" width="2" style="2" customWidth="1"/>
    <col min="14082" max="14082" width="33.44140625" style="2" customWidth="1"/>
    <col min="14083" max="14086" width="8" style="2"/>
    <col min="14087" max="14087" width="8.21875" style="2" customWidth="1"/>
    <col min="14088" max="14088" width="5" style="2" customWidth="1"/>
    <col min="14089" max="14089" width="1" style="2" customWidth="1"/>
    <col min="14090" max="14090" width="2.77734375" style="2" customWidth="1"/>
    <col min="14091" max="14336" width="8" style="2"/>
    <col min="14337" max="14337" width="2" style="2" customWidth="1"/>
    <col min="14338" max="14338" width="33.44140625" style="2" customWidth="1"/>
    <col min="14339" max="14342" width="8" style="2"/>
    <col min="14343" max="14343" width="8.21875" style="2" customWidth="1"/>
    <col min="14344" max="14344" width="5" style="2" customWidth="1"/>
    <col min="14345" max="14345" width="1" style="2" customWidth="1"/>
    <col min="14346" max="14346" width="2.77734375" style="2" customWidth="1"/>
    <col min="14347" max="14592" width="8" style="2"/>
    <col min="14593" max="14593" width="2" style="2" customWidth="1"/>
    <col min="14594" max="14594" width="33.44140625" style="2" customWidth="1"/>
    <col min="14595" max="14598" width="8" style="2"/>
    <col min="14599" max="14599" width="8.21875" style="2" customWidth="1"/>
    <col min="14600" max="14600" width="5" style="2" customWidth="1"/>
    <col min="14601" max="14601" width="1" style="2" customWidth="1"/>
    <col min="14602" max="14602" width="2.77734375" style="2" customWidth="1"/>
    <col min="14603" max="14848" width="8" style="2"/>
    <col min="14849" max="14849" width="2" style="2" customWidth="1"/>
    <col min="14850" max="14850" width="33.44140625" style="2" customWidth="1"/>
    <col min="14851" max="14854" width="8" style="2"/>
    <col min="14855" max="14855" width="8.21875" style="2" customWidth="1"/>
    <col min="14856" max="14856" width="5" style="2" customWidth="1"/>
    <col min="14857" max="14857" width="1" style="2" customWidth="1"/>
    <col min="14858" max="14858" width="2.77734375" style="2" customWidth="1"/>
    <col min="14859" max="15104" width="8" style="2"/>
    <col min="15105" max="15105" width="2" style="2" customWidth="1"/>
    <col min="15106" max="15106" width="33.44140625" style="2" customWidth="1"/>
    <col min="15107" max="15110" width="8" style="2"/>
    <col min="15111" max="15111" width="8.21875" style="2" customWidth="1"/>
    <col min="15112" max="15112" width="5" style="2" customWidth="1"/>
    <col min="15113" max="15113" width="1" style="2" customWidth="1"/>
    <col min="15114" max="15114" width="2.77734375" style="2" customWidth="1"/>
    <col min="15115" max="15360" width="8" style="2"/>
    <col min="15361" max="15361" width="2" style="2" customWidth="1"/>
    <col min="15362" max="15362" width="33.44140625" style="2" customWidth="1"/>
    <col min="15363" max="15366" width="8" style="2"/>
    <col min="15367" max="15367" width="8.21875" style="2" customWidth="1"/>
    <col min="15368" max="15368" width="5" style="2" customWidth="1"/>
    <col min="15369" max="15369" width="1" style="2" customWidth="1"/>
    <col min="15370" max="15370" width="2.77734375" style="2" customWidth="1"/>
    <col min="15371" max="15616" width="8" style="2"/>
    <col min="15617" max="15617" width="2" style="2" customWidth="1"/>
    <col min="15618" max="15618" width="33.44140625" style="2" customWidth="1"/>
    <col min="15619" max="15622" width="8" style="2"/>
    <col min="15623" max="15623" width="8.21875" style="2" customWidth="1"/>
    <col min="15624" max="15624" width="5" style="2" customWidth="1"/>
    <col min="15625" max="15625" width="1" style="2" customWidth="1"/>
    <col min="15626" max="15626" width="2.77734375" style="2" customWidth="1"/>
    <col min="15627" max="15872" width="8" style="2"/>
    <col min="15873" max="15873" width="2" style="2" customWidth="1"/>
    <col min="15874" max="15874" width="33.44140625" style="2" customWidth="1"/>
    <col min="15875" max="15878" width="8" style="2"/>
    <col min="15879" max="15879" width="8.21875" style="2" customWidth="1"/>
    <col min="15880" max="15880" width="5" style="2" customWidth="1"/>
    <col min="15881" max="15881" width="1" style="2" customWidth="1"/>
    <col min="15882" max="15882" width="2.77734375" style="2" customWidth="1"/>
    <col min="15883" max="16128" width="8" style="2"/>
    <col min="16129" max="16129" width="2" style="2" customWidth="1"/>
    <col min="16130" max="16130" width="33.44140625" style="2" customWidth="1"/>
    <col min="16131" max="16134" width="8" style="2"/>
    <col min="16135" max="16135" width="8.21875" style="2" customWidth="1"/>
    <col min="16136" max="16136" width="5" style="2" customWidth="1"/>
    <col min="16137" max="16137" width="1" style="2" customWidth="1"/>
    <col min="16138" max="16138" width="2.77734375" style="2" customWidth="1"/>
    <col min="16139" max="16384" width="8" style="2"/>
  </cols>
  <sheetData>
    <row r="1" spans="1:11" ht="10.8" thickBot="1" x14ac:dyDescent="0.25">
      <c r="A1" s="1">
        <v>1</v>
      </c>
      <c r="B1" s="2"/>
    </row>
    <row r="2" spans="1:11" ht="10.8" thickTop="1" x14ac:dyDescent="0.2">
      <c r="A2" s="1"/>
      <c r="B2" s="4"/>
      <c r="C2" s="4"/>
      <c r="D2" s="4"/>
      <c r="E2" s="4"/>
      <c r="F2" s="4"/>
      <c r="G2" s="4"/>
      <c r="H2" s="4"/>
      <c r="I2" s="5"/>
      <c r="J2" s="6"/>
      <c r="K2" s="2">
        <v>1</v>
      </c>
    </row>
    <row r="3" spans="1:11" x14ac:dyDescent="0.2">
      <c r="A3" s="1"/>
      <c r="B3" s="7" t="s">
        <v>0</v>
      </c>
      <c r="C3" s="8"/>
      <c r="D3" s="8"/>
      <c r="E3" s="8"/>
      <c r="F3" s="8"/>
      <c r="G3" s="8"/>
      <c r="H3" s="9"/>
      <c r="I3" s="10"/>
      <c r="J3" s="6"/>
    </row>
    <row r="4" spans="1:11" x14ac:dyDescent="0.2">
      <c r="A4" s="1"/>
      <c r="B4" s="11" t="s">
        <v>1</v>
      </c>
      <c r="C4" s="12"/>
      <c r="D4" s="12"/>
      <c r="E4" s="12"/>
      <c r="F4" s="12"/>
      <c r="G4" s="12"/>
      <c r="H4" s="13"/>
      <c r="I4" s="10"/>
      <c r="J4" s="6"/>
    </row>
    <row r="5" spans="1:11" x14ac:dyDescent="0.2">
      <c r="A5" s="1"/>
      <c r="B5" s="11" t="s">
        <v>2</v>
      </c>
      <c r="C5" s="12"/>
      <c r="D5" s="12"/>
      <c r="E5" s="12"/>
      <c r="F5" s="12"/>
      <c r="G5" s="12"/>
      <c r="H5" s="13"/>
      <c r="I5" s="10"/>
      <c r="J5" s="6"/>
    </row>
    <row r="6" spans="1:11" x14ac:dyDescent="0.2">
      <c r="A6" s="1"/>
      <c r="B6" s="14"/>
      <c r="H6" s="15"/>
      <c r="I6" s="10"/>
      <c r="J6" s="6"/>
    </row>
    <row r="7" spans="1:11" s="3" customFormat="1" x14ac:dyDescent="0.3">
      <c r="A7" s="1"/>
      <c r="B7" s="16" t="s">
        <v>3</v>
      </c>
      <c r="C7" s="17" t="s">
        <v>4</v>
      </c>
      <c r="D7" s="18"/>
      <c r="E7" s="18"/>
      <c r="F7" s="18"/>
      <c r="G7" s="18"/>
      <c r="H7" s="19"/>
      <c r="I7" s="10"/>
      <c r="J7" s="6"/>
    </row>
    <row r="8" spans="1:11" s="3" customFormat="1" ht="20.399999999999999" x14ac:dyDescent="0.3">
      <c r="A8" s="1"/>
      <c r="B8" s="20" t="s">
        <v>5</v>
      </c>
      <c r="C8" s="21" t="s">
        <v>6</v>
      </c>
      <c r="D8" s="22"/>
      <c r="E8" s="22"/>
      <c r="F8" s="22"/>
      <c r="G8" s="22"/>
      <c r="H8" s="23"/>
      <c r="I8" s="10"/>
      <c r="J8" s="6"/>
    </row>
    <row r="9" spans="1:11" s="3" customFormat="1" x14ac:dyDescent="0.3">
      <c r="A9" s="1"/>
      <c r="B9" s="20" t="s">
        <v>7</v>
      </c>
      <c r="C9" s="21" t="s">
        <v>8</v>
      </c>
      <c r="D9" s="22"/>
      <c r="E9" s="22"/>
      <c r="F9" s="22"/>
      <c r="G9" s="22"/>
      <c r="H9" s="23"/>
      <c r="I9" s="10"/>
      <c r="J9" s="6"/>
    </row>
    <row r="10" spans="1:11" s="3" customFormat="1" x14ac:dyDescent="0.3">
      <c r="A10" s="1"/>
      <c r="B10" s="20" t="s">
        <v>9</v>
      </c>
      <c r="C10" s="21" t="s">
        <v>10</v>
      </c>
      <c r="D10" s="22"/>
      <c r="E10" s="22"/>
      <c r="F10" s="22"/>
      <c r="G10" s="22"/>
      <c r="H10" s="23"/>
      <c r="I10" s="10"/>
      <c r="J10" s="6"/>
    </row>
    <row r="11" spans="1:11" s="3" customFormat="1" ht="10.5" customHeight="1" x14ac:dyDescent="0.3">
      <c r="A11" s="1"/>
      <c r="B11" s="20" t="s">
        <v>11</v>
      </c>
      <c r="C11" s="24" t="str">
        <f>VLOOKUP(K2,'[1]FORM XIII'!C$14:P228,3,0)</f>
        <v>SOHANVEER</v>
      </c>
      <c r="D11" s="25"/>
      <c r="E11" s="25"/>
      <c r="F11" s="25"/>
      <c r="G11" s="25"/>
      <c r="H11" s="26"/>
      <c r="I11" s="10"/>
      <c r="J11" s="6"/>
    </row>
    <row r="12" spans="1:11" s="3" customFormat="1" ht="12.75" customHeight="1" x14ac:dyDescent="0.3">
      <c r="A12" s="1"/>
      <c r="B12" s="20" t="s">
        <v>12</v>
      </c>
      <c r="C12" s="24">
        <f>VLOOKUP(K2,'[1]FORM XIII'!C$14:P228,2,0)</f>
        <v>72222011</v>
      </c>
      <c r="D12" s="25"/>
      <c r="E12" s="25"/>
      <c r="F12" s="25"/>
      <c r="G12" s="25"/>
      <c r="H12" s="26"/>
      <c r="I12" s="10"/>
      <c r="J12" s="6"/>
    </row>
    <row r="13" spans="1:11" s="3" customFormat="1" ht="12.75" customHeight="1" x14ac:dyDescent="0.3">
      <c r="A13" s="1"/>
      <c r="B13" s="20" t="s">
        <v>13</v>
      </c>
      <c r="C13" s="24" t="str">
        <f>VLOOKUP(K2,'[1]FORM XIII'!C$14:P228,8,0)</f>
        <v/>
      </c>
      <c r="D13" s="25"/>
      <c r="E13" s="25"/>
      <c r="F13" s="25"/>
      <c r="G13" s="25"/>
      <c r="H13" s="26"/>
      <c r="I13" s="10"/>
      <c r="J13" s="6"/>
    </row>
    <row r="14" spans="1:11" s="3" customFormat="1" ht="20.399999999999999" x14ac:dyDescent="0.3">
      <c r="A14" s="1"/>
      <c r="B14" s="20" t="s">
        <v>14</v>
      </c>
      <c r="C14" s="24" t="s">
        <v>15</v>
      </c>
      <c r="D14" s="25"/>
      <c r="E14" s="25"/>
      <c r="F14" s="25"/>
      <c r="G14" s="25"/>
      <c r="H14" s="26"/>
      <c r="I14" s="10"/>
      <c r="J14" s="6"/>
    </row>
    <row r="15" spans="1:11" s="3" customFormat="1" x14ac:dyDescent="0.3">
      <c r="A15" s="1"/>
      <c r="B15" s="20" t="s">
        <v>16</v>
      </c>
      <c r="C15" s="24" t="s">
        <v>17</v>
      </c>
      <c r="D15" s="25"/>
      <c r="E15" s="25"/>
      <c r="F15" s="25"/>
      <c r="G15" s="25"/>
      <c r="H15" s="26"/>
      <c r="I15" s="10"/>
      <c r="J15" s="6"/>
    </row>
    <row r="16" spans="1:11" s="3" customFormat="1" x14ac:dyDescent="0.3">
      <c r="A16" s="1"/>
      <c r="B16" s="20" t="s">
        <v>18</v>
      </c>
      <c r="C16" s="27" t="s">
        <v>19</v>
      </c>
      <c r="D16" s="28"/>
      <c r="E16" s="28"/>
      <c r="F16" s="28"/>
      <c r="G16" s="28"/>
      <c r="H16" s="29"/>
      <c r="I16" s="10"/>
      <c r="J16" s="6"/>
    </row>
    <row r="17" spans="1:13" s="3" customFormat="1" x14ac:dyDescent="0.3">
      <c r="A17" s="1"/>
      <c r="B17" s="30" t="s">
        <v>20</v>
      </c>
      <c r="C17" s="31"/>
      <c r="D17" s="32"/>
      <c r="E17" s="32"/>
      <c r="F17" s="32"/>
      <c r="G17" s="32"/>
      <c r="H17" s="33"/>
      <c r="I17" s="10"/>
      <c r="J17" s="6"/>
    </row>
    <row r="18" spans="1:13" x14ac:dyDescent="0.2">
      <c r="A18" s="1"/>
      <c r="B18" s="34" t="s">
        <v>21</v>
      </c>
      <c r="C18" s="35"/>
      <c r="D18" s="35"/>
      <c r="E18" s="35"/>
      <c r="F18" s="35"/>
      <c r="G18" s="35"/>
      <c r="H18" s="36"/>
      <c r="I18" s="10"/>
      <c r="J18" s="6"/>
      <c r="M18" s="3"/>
    </row>
    <row r="19" spans="1:13" x14ac:dyDescent="0.2">
      <c r="A19" s="1"/>
      <c r="B19" s="37" t="s">
        <v>22</v>
      </c>
      <c r="C19" s="38" t="s">
        <v>23</v>
      </c>
      <c r="D19" s="38"/>
      <c r="E19" s="38"/>
      <c r="F19" s="38"/>
      <c r="G19" s="38"/>
      <c r="H19" s="39"/>
      <c r="I19" s="10"/>
      <c r="J19" s="6"/>
      <c r="M19" s="3"/>
    </row>
    <row r="20" spans="1:13" ht="10.8" thickBot="1" x14ac:dyDescent="0.25">
      <c r="A20" s="1"/>
      <c r="B20" s="40"/>
      <c r="C20" s="41"/>
      <c r="D20" s="41"/>
      <c r="E20" s="41"/>
      <c r="F20" s="41"/>
      <c r="G20" s="41"/>
      <c r="H20" s="41"/>
      <c r="I20" s="42"/>
      <c r="J20" s="6"/>
      <c r="M20" s="3"/>
    </row>
    <row r="21" spans="1:13" ht="24.75" customHeight="1" thickTop="1" x14ac:dyDescent="0.2">
      <c r="A21" s="1"/>
      <c r="J21" s="6"/>
      <c r="M21" s="3"/>
    </row>
    <row r="23" spans="1:13" ht="10.8" thickBot="1" x14ac:dyDescent="0.25">
      <c r="A23" s="1">
        <v>2</v>
      </c>
      <c r="B23" s="2"/>
    </row>
    <row r="24" spans="1:13" ht="10.8" thickTop="1" x14ac:dyDescent="0.2">
      <c r="A24" s="1"/>
      <c r="B24" s="4"/>
      <c r="C24" s="4"/>
      <c r="D24" s="4"/>
      <c r="E24" s="4"/>
      <c r="F24" s="4"/>
      <c r="G24" s="4"/>
      <c r="H24" s="4"/>
      <c r="I24" s="5"/>
      <c r="J24" s="6"/>
      <c r="K24" s="2">
        <v>2</v>
      </c>
    </row>
    <row r="25" spans="1:13" x14ac:dyDescent="0.2">
      <c r="A25" s="1"/>
      <c r="B25" s="7" t="s">
        <v>0</v>
      </c>
      <c r="C25" s="8"/>
      <c r="D25" s="8"/>
      <c r="E25" s="8"/>
      <c r="F25" s="8"/>
      <c r="G25" s="8"/>
      <c r="H25" s="9"/>
      <c r="I25" s="10"/>
      <c r="J25" s="6"/>
    </row>
    <row r="26" spans="1:13" x14ac:dyDescent="0.2">
      <c r="A26" s="1"/>
      <c r="B26" s="11" t="s">
        <v>1</v>
      </c>
      <c r="C26" s="12"/>
      <c r="D26" s="12"/>
      <c r="E26" s="12"/>
      <c r="F26" s="12"/>
      <c r="G26" s="12"/>
      <c r="H26" s="13"/>
      <c r="I26" s="10"/>
      <c r="J26" s="6"/>
    </row>
    <row r="27" spans="1:13" x14ac:dyDescent="0.2">
      <c r="A27" s="1"/>
      <c r="B27" s="11" t="s">
        <v>2</v>
      </c>
      <c r="C27" s="12"/>
      <c r="D27" s="12"/>
      <c r="E27" s="12"/>
      <c r="F27" s="12"/>
      <c r="G27" s="12"/>
      <c r="H27" s="13"/>
      <c r="I27" s="10"/>
      <c r="J27" s="6"/>
    </row>
    <row r="28" spans="1:13" x14ac:dyDescent="0.2">
      <c r="A28" s="1"/>
      <c r="B28" s="14"/>
      <c r="H28" s="15"/>
      <c r="I28" s="10"/>
      <c r="J28" s="6"/>
    </row>
    <row r="29" spans="1:13" x14ac:dyDescent="0.2">
      <c r="A29" s="1"/>
      <c r="B29" s="16" t="s">
        <v>3</v>
      </c>
      <c r="C29" s="17" t="s">
        <v>4</v>
      </c>
      <c r="D29" s="18"/>
      <c r="E29" s="18"/>
      <c r="F29" s="18"/>
      <c r="G29" s="18"/>
      <c r="H29" s="19"/>
      <c r="I29" s="10"/>
      <c r="J29" s="6"/>
    </row>
    <row r="30" spans="1:13" ht="20.399999999999999" x14ac:dyDescent="0.2">
      <c r="A30" s="1"/>
      <c r="B30" s="20" t="s">
        <v>5</v>
      </c>
      <c r="C30" s="21" t="s">
        <v>6</v>
      </c>
      <c r="D30" s="22"/>
      <c r="E30" s="22"/>
      <c r="F30" s="22"/>
      <c r="G30" s="22"/>
      <c r="H30" s="23"/>
      <c r="I30" s="10"/>
      <c r="J30" s="6"/>
    </row>
    <row r="31" spans="1:13" x14ac:dyDescent="0.2">
      <c r="A31" s="1"/>
      <c r="B31" s="20" t="s">
        <v>7</v>
      </c>
      <c r="C31" s="21" t="s">
        <v>8</v>
      </c>
      <c r="D31" s="22"/>
      <c r="E31" s="22"/>
      <c r="F31" s="22"/>
      <c r="G31" s="22"/>
      <c r="H31" s="23"/>
      <c r="I31" s="10"/>
      <c r="J31" s="6"/>
    </row>
    <row r="32" spans="1:13" x14ac:dyDescent="0.2">
      <c r="A32" s="1"/>
      <c r="B32" s="20" t="s">
        <v>9</v>
      </c>
      <c r="C32" s="21" t="s">
        <v>10</v>
      </c>
      <c r="D32" s="22"/>
      <c r="E32" s="22"/>
      <c r="F32" s="22"/>
      <c r="G32" s="22"/>
      <c r="H32" s="23"/>
      <c r="I32" s="10"/>
      <c r="J32" s="6"/>
    </row>
    <row r="33" spans="1:11" x14ac:dyDescent="0.2">
      <c r="A33" s="1"/>
      <c r="B33" s="20" t="s">
        <v>11</v>
      </c>
      <c r="C33" s="24" t="str">
        <f>VLOOKUP(K24,'[1]FORM XIII'!C$14:P250,3,0)</f>
        <v>FURKAN</v>
      </c>
      <c r="D33" s="25"/>
      <c r="E33" s="25"/>
      <c r="F33" s="25"/>
      <c r="G33" s="25"/>
      <c r="H33" s="26"/>
      <c r="I33" s="10"/>
      <c r="J33" s="6"/>
    </row>
    <row r="34" spans="1:11" x14ac:dyDescent="0.2">
      <c r="A34" s="1"/>
      <c r="B34" s="20" t="s">
        <v>12</v>
      </c>
      <c r="C34" s="24">
        <f>VLOOKUP(K24,'[1]FORM XIII'!C$14:P250,2,0)</f>
        <v>72222024</v>
      </c>
      <c r="D34" s="25"/>
      <c r="E34" s="25"/>
      <c r="F34" s="25"/>
      <c r="G34" s="25"/>
      <c r="H34" s="26"/>
      <c r="I34" s="10"/>
      <c r="J34" s="6"/>
    </row>
    <row r="35" spans="1:11" x14ac:dyDescent="0.2">
      <c r="A35" s="1"/>
      <c r="B35" s="20" t="s">
        <v>13</v>
      </c>
      <c r="C35" s="24" t="str">
        <f>VLOOKUP(K24,'[1]FORM XIII'!C$14:P250,8,0)</f>
        <v/>
      </c>
      <c r="D35" s="25"/>
      <c r="E35" s="25"/>
      <c r="F35" s="25"/>
      <c r="G35" s="25"/>
      <c r="H35" s="26"/>
      <c r="I35" s="10"/>
      <c r="J35" s="6"/>
    </row>
    <row r="36" spans="1:11" ht="20.399999999999999" x14ac:dyDescent="0.2">
      <c r="A36" s="1"/>
      <c r="B36" s="20" t="s">
        <v>14</v>
      </c>
      <c r="C36" s="44" t="s">
        <v>15</v>
      </c>
      <c r="D36" s="45"/>
      <c r="E36" s="45"/>
      <c r="F36" s="45"/>
      <c r="G36" s="45"/>
      <c r="H36" s="46"/>
      <c r="I36" s="10"/>
      <c r="J36" s="6"/>
    </row>
    <row r="37" spans="1:11" x14ac:dyDescent="0.2">
      <c r="A37" s="1"/>
      <c r="B37" s="20" t="s">
        <v>16</v>
      </c>
      <c r="C37" s="44" t="s">
        <v>17</v>
      </c>
      <c r="D37" s="45"/>
      <c r="E37" s="45"/>
      <c r="F37" s="45"/>
      <c r="G37" s="45"/>
      <c r="H37" s="46"/>
      <c r="I37" s="10"/>
      <c r="J37" s="6"/>
    </row>
    <row r="38" spans="1:11" x14ac:dyDescent="0.2">
      <c r="A38" s="1"/>
      <c r="B38" s="20" t="s">
        <v>18</v>
      </c>
      <c r="C38" s="47" t="s">
        <v>19</v>
      </c>
      <c r="D38" s="22"/>
      <c r="E38" s="22"/>
      <c r="F38" s="22"/>
      <c r="G38" s="22"/>
      <c r="H38" s="23"/>
      <c r="I38" s="10"/>
      <c r="J38" s="6"/>
    </row>
    <row r="39" spans="1:11" x14ac:dyDescent="0.2">
      <c r="A39" s="1"/>
      <c r="B39" s="30" t="s">
        <v>20</v>
      </c>
      <c r="C39" s="31"/>
      <c r="D39" s="32"/>
      <c r="E39" s="32"/>
      <c r="F39" s="32"/>
      <c r="G39" s="32"/>
      <c r="H39" s="33"/>
      <c r="I39" s="10"/>
      <c r="J39" s="6"/>
    </row>
    <row r="40" spans="1:11" x14ac:dyDescent="0.2">
      <c r="A40" s="1"/>
      <c r="B40" s="34" t="s">
        <v>21</v>
      </c>
      <c r="C40" s="35"/>
      <c r="D40" s="35"/>
      <c r="E40" s="35"/>
      <c r="F40" s="35"/>
      <c r="G40" s="35"/>
      <c r="H40" s="36"/>
      <c r="I40" s="10"/>
      <c r="J40" s="6"/>
    </row>
    <row r="41" spans="1:11" x14ac:dyDescent="0.2">
      <c r="A41" s="1"/>
      <c r="B41" s="37" t="s">
        <v>22</v>
      </c>
      <c r="C41" s="38" t="s">
        <v>23</v>
      </c>
      <c r="D41" s="38"/>
      <c r="E41" s="38"/>
      <c r="F41" s="38"/>
      <c r="G41" s="38"/>
      <c r="H41" s="39"/>
      <c r="I41" s="10"/>
      <c r="J41" s="6"/>
    </row>
    <row r="42" spans="1:11" ht="10.8" thickBot="1" x14ac:dyDescent="0.25">
      <c r="A42" s="1"/>
      <c r="B42" s="40"/>
      <c r="C42" s="41"/>
      <c r="D42" s="41"/>
      <c r="E42" s="41"/>
      <c r="F42" s="41"/>
      <c r="G42" s="41"/>
      <c r="H42" s="41"/>
      <c r="I42" s="42"/>
      <c r="J42" s="6"/>
    </row>
    <row r="43" spans="1:11" ht="10.8" thickTop="1" x14ac:dyDescent="0.2">
      <c r="A43" s="1"/>
      <c r="J43" s="6"/>
    </row>
    <row r="44" spans="1:11" ht="10.8" thickBot="1" x14ac:dyDescent="0.25"/>
    <row r="45" spans="1:11" ht="10.8" thickTop="1" x14ac:dyDescent="0.2">
      <c r="B45" s="4"/>
      <c r="C45" s="4"/>
      <c r="D45" s="4"/>
      <c r="E45" s="4"/>
      <c r="F45" s="4"/>
      <c r="G45" s="4"/>
      <c r="H45" s="4"/>
      <c r="I45" s="5"/>
      <c r="K45" s="2">
        <f>+K24+1</f>
        <v>3</v>
      </c>
    </row>
    <row r="46" spans="1:11" x14ac:dyDescent="0.2">
      <c r="B46" s="7" t="s">
        <v>0</v>
      </c>
      <c r="C46" s="8"/>
      <c r="D46" s="8"/>
      <c r="E46" s="8"/>
      <c r="F46" s="8"/>
      <c r="G46" s="8"/>
      <c r="H46" s="9"/>
      <c r="I46" s="10"/>
    </row>
    <row r="47" spans="1:11" x14ac:dyDescent="0.2">
      <c r="B47" s="11" t="s">
        <v>1</v>
      </c>
      <c r="C47" s="12"/>
      <c r="D47" s="12"/>
      <c r="E47" s="12"/>
      <c r="F47" s="12"/>
      <c r="G47" s="12"/>
      <c r="H47" s="13"/>
      <c r="I47" s="10"/>
    </row>
    <row r="48" spans="1:11" x14ac:dyDescent="0.2">
      <c r="B48" s="11" t="s">
        <v>2</v>
      </c>
      <c r="C48" s="12"/>
      <c r="D48" s="12"/>
      <c r="E48" s="12"/>
      <c r="F48" s="12"/>
      <c r="G48" s="12"/>
      <c r="H48" s="13"/>
      <c r="I48" s="10"/>
    </row>
    <row r="49" spans="2:9" x14ac:dyDescent="0.2">
      <c r="B49" s="14"/>
      <c r="H49" s="15"/>
      <c r="I49" s="10"/>
    </row>
    <row r="50" spans="2:9" x14ac:dyDescent="0.2">
      <c r="B50" s="16" t="s">
        <v>3</v>
      </c>
      <c r="C50" s="17" t="s">
        <v>4</v>
      </c>
      <c r="D50" s="18"/>
      <c r="E50" s="18"/>
      <c r="F50" s="18"/>
      <c r="G50" s="18"/>
      <c r="H50" s="19"/>
      <c r="I50" s="10"/>
    </row>
    <row r="51" spans="2:9" ht="20.399999999999999" x14ac:dyDescent="0.2">
      <c r="B51" s="20" t="s">
        <v>5</v>
      </c>
      <c r="C51" s="21" t="s">
        <v>6</v>
      </c>
      <c r="D51" s="22"/>
      <c r="E51" s="22"/>
      <c r="F51" s="22"/>
      <c r="G51" s="22"/>
      <c r="H51" s="23"/>
      <c r="I51" s="10"/>
    </row>
    <row r="52" spans="2:9" x14ac:dyDescent="0.2">
      <c r="B52" s="20" t="s">
        <v>7</v>
      </c>
      <c r="C52" s="21" t="s">
        <v>8</v>
      </c>
      <c r="D52" s="22"/>
      <c r="E52" s="22"/>
      <c r="F52" s="22"/>
      <c r="G52" s="22"/>
      <c r="H52" s="23"/>
      <c r="I52" s="10"/>
    </row>
    <row r="53" spans="2:9" x14ac:dyDescent="0.2">
      <c r="B53" s="20" t="s">
        <v>9</v>
      </c>
      <c r="C53" s="21" t="s">
        <v>10</v>
      </c>
      <c r="D53" s="22"/>
      <c r="E53" s="22"/>
      <c r="F53" s="22"/>
      <c r="G53" s="22"/>
      <c r="H53" s="23"/>
      <c r="I53" s="10"/>
    </row>
    <row r="54" spans="2:9" ht="10.5" customHeight="1" x14ac:dyDescent="0.2">
      <c r="B54" s="20" t="s">
        <v>11</v>
      </c>
      <c r="C54" s="24" t="str">
        <f>VLOOKUP(K45,'[1]FORM XIII'!C$14:P271,3,0)</f>
        <v>SOMIT KUMAR</v>
      </c>
      <c r="D54" s="25"/>
      <c r="E54" s="25"/>
      <c r="F54" s="25"/>
      <c r="G54" s="25"/>
      <c r="H54" s="26"/>
      <c r="I54" s="10"/>
    </row>
    <row r="55" spans="2:9" x14ac:dyDescent="0.2">
      <c r="B55" s="20" t="s">
        <v>12</v>
      </c>
      <c r="C55" s="24">
        <f>VLOOKUP(K45,'[1]FORM XIII'!C$14:P271,2,0)</f>
        <v>72222032</v>
      </c>
      <c r="D55" s="25"/>
      <c r="E55" s="25"/>
      <c r="F55" s="25"/>
      <c r="G55" s="25"/>
      <c r="H55" s="26"/>
      <c r="I55" s="10"/>
    </row>
    <row r="56" spans="2:9" x14ac:dyDescent="0.2">
      <c r="B56" s="20" t="s">
        <v>13</v>
      </c>
      <c r="C56" s="24" t="str">
        <f>VLOOKUP(K45,'[1]FORM XIII'!C$14:P271,8,0)</f>
        <v/>
      </c>
      <c r="D56" s="25"/>
      <c r="E56" s="25"/>
      <c r="F56" s="25"/>
      <c r="G56" s="25"/>
      <c r="H56" s="26"/>
      <c r="I56" s="10"/>
    </row>
    <row r="57" spans="2:9" ht="20.399999999999999" x14ac:dyDescent="0.2">
      <c r="B57" s="20" t="s">
        <v>14</v>
      </c>
      <c r="C57" s="44" t="s">
        <v>15</v>
      </c>
      <c r="D57" s="45"/>
      <c r="E57" s="45"/>
      <c r="F57" s="45"/>
      <c r="G57" s="45"/>
      <c r="H57" s="46"/>
      <c r="I57" s="10"/>
    </row>
    <row r="58" spans="2:9" x14ac:dyDescent="0.2">
      <c r="B58" s="20" t="s">
        <v>16</v>
      </c>
      <c r="C58" s="44" t="s">
        <v>17</v>
      </c>
      <c r="D58" s="45"/>
      <c r="E58" s="45"/>
      <c r="F58" s="45"/>
      <c r="G58" s="45"/>
      <c r="H58" s="46"/>
      <c r="I58" s="10"/>
    </row>
    <row r="59" spans="2:9" x14ac:dyDescent="0.2">
      <c r="B59" s="20" t="s">
        <v>18</v>
      </c>
      <c r="C59" s="47" t="s">
        <v>19</v>
      </c>
      <c r="D59" s="22"/>
      <c r="E59" s="22"/>
      <c r="F59" s="22"/>
      <c r="G59" s="22"/>
      <c r="H59" s="23"/>
      <c r="I59" s="10"/>
    </row>
    <row r="60" spans="2:9" x14ac:dyDescent="0.2">
      <c r="B60" s="30" t="s">
        <v>20</v>
      </c>
      <c r="C60" s="31"/>
      <c r="D60" s="32"/>
      <c r="E60" s="32"/>
      <c r="F60" s="32"/>
      <c r="G60" s="32"/>
      <c r="H60" s="33"/>
      <c r="I60" s="10"/>
    </row>
    <row r="61" spans="2:9" x14ac:dyDescent="0.2">
      <c r="B61" s="34" t="s">
        <v>21</v>
      </c>
      <c r="C61" s="35"/>
      <c r="D61" s="35"/>
      <c r="E61" s="35"/>
      <c r="F61" s="35"/>
      <c r="G61" s="35"/>
      <c r="H61" s="36"/>
      <c r="I61" s="10"/>
    </row>
    <row r="62" spans="2:9" x14ac:dyDescent="0.2">
      <c r="B62" s="37" t="s">
        <v>22</v>
      </c>
      <c r="C62" s="38" t="s">
        <v>23</v>
      </c>
      <c r="D62" s="38"/>
      <c r="E62" s="38"/>
      <c r="F62" s="38"/>
      <c r="G62" s="38"/>
      <c r="H62" s="39"/>
      <c r="I62" s="10"/>
    </row>
    <row r="63" spans="2:9" ht="10.8" thickBot="1" x14ac:dyDescent="0.25">
      <c r="B63" s="40"/>
      <c r="C63" s="41"/>
      <c r="D63" s="41"/>
      <c r="E63" s="41"/>
      <c r="F63" s="41"/>
      <c r="G63" s="41"/>
      <c r="H63" s="41"/>
      <c r="I63" s="42"/>
    </row>
    <row r="64" spans="2:9" ht="10.8" thickTop="1" x14ac:dyDescent="0.2"/>
    <row r="65" spans="2:11" ht="10.8" thickBot="1" x14ac:dyDescent="0.25"/>
    <row r="66" spans="2:11" ht="10.8" thickTop="1" x14ac:dyDescent="0.2">
      <c r="B66" s="4"/>
      <c r="C66" s="4"/>
      <c r="D66" s="4"/>
      <c r="E66" s="4"/>
      <c r="F66" s="4"/>
      <c r="G66" s="4"/>
      <c r="H66" s="4"/>
      <c r="I66" s="5"/>
      <c r="K66" s="2">
        <f>+K45+1</f>
        <v>4</v>
      </c>
    </row>
    <row r="67" spans="2:11" x14ac:dyDescent="0.2">
      <c r="B67" s="7" t="s">
        <v>0</v>
      </c>
      <c r="C67" s="8"/>
      <c r="D67" s="8"/>
      <c r="E67" s="8"/>
      <c r="F67" s="8"/>
      <c r="G67" s="8"/>
      <c r="H67" s="9"/>
      <c r="I67" s="10"/>
    </row>
    <row r="68" spans="2:11" x14ac:dyDescent="0.2">
      <c r="B68" s="11" t="s">
        <v>1</v>
      </c>
      <c r="C68" s="12"/>
      <c r="D68" s="12"/>
      <c r="E68" s="12"/>
      <c r="F68" s="12"/>
      <c r="G68" s="12"/>
      <c r="H68" s="13"/>
      <c r="I68" s="10"/>
    </row>
    <row r="69" spans="2:11" x14ac:dyDescent="0.2">
      <c r="B69" s="11" t="s">
        <v>2</v>
      </c>
      <c r="C69" s="12"/>
      <c r="D69" s="12"/>
      <c r="E69" s="12"/>
      <c r="F69" s="12"/>
      <c r="G69" s="12"/>
      <c r="H69" s="13"/>
      <c r="I69" s="10"/>
    </row>
    <row r="70" spans="2:11" x14ac:dyDescent="0.2">
      <c r="B70" s="14"/>
      <c r="H70" s="15"/>
      <c r="I70" s="10"/>
    </row>
    <row r="71" spans="2:11" x14ac:dyDescent="0.2">
      <c r="B71" s="16" t="s">
        <v>3</v>
      </c>
      <c r="C71" s="17" t="s">
        <v>4</v>
      </c>
      <c r="D71" s="18"/>
      <c r="E71" s="18"/>
      <c r="F71" s="18"/>
      <c r="G71" s="18"/>
      <c r="H71" s="19"/>
      <c r="I71" s="10"/>
    </row>
    <row r="72" spans="2:11" ht="20.399999999999999" x14ac:dyDescent="0.2">
      <c r="B72" s="20" t="s">
        <v>5</v>
      </c>
      <c r="C72" s="21" t="s">
        <v>6</v>
      </c>
      <c r="D72" s="22"/>
      <c r="E72" s="22"/>
      <c r="F72" s="22"/>
      <c r="G72" s="22"/>
      <c r="H72" s="23"/>
      <c r="I72" s="10"/>
    </row>
    <row r="73" spans="2:11" x14ac:dyDescent="0.2">
      <c r="B73" s="20" t="s">
        <v>7</v>
      </c>
      <c r="C73" s="21" t="s">
        <v>8</v>
      </c>
      <c r="D73" s="22"/>
      <c r="E73" s="22"/>
      <c r="F73" s="22"/>
      <c r="G73" s="22"/>
      <c r="H73" s="23"/>
      <c r="I73" s="10"/>
    </row>
    <row r="74" spans="2:11" x14ac:dyDescent="0.2">
      <c r="B74" s="20" t="s">
        <v>9</v>
      </c>
      <c r="C74" s="21" t="s">
        <v>10</v>
      </c>
      <c r="D74" s="22"/>
      <c r="E74" s="22"/>
      <c r="F74" s="22"/>
      <c r="G74" s="22"/>
      <c r="H74" s="23"/>
      <c r="I74" s="10"/>
    </row>
    <row r="75" spans="2:11" x14ac:dyDescent="0.2">
      <c r="B75" s="20" t="s">
        <v>11</v>
      </c>
      <c r="C75" s="24" t="str">
        <f>VLOOKUP(K66,'[1]FORM XIII'!C$14:P292,3,0)</f>
        <v>PAHAL SINGH</v>
      </c>
      <c r="D75" s="25"/>
      <c r="E75" s="25"/>
      <c r="F75" s="25"/>
      <c r="G75" s="25"/>
      <c r="H75" s="26"/>
      <c r="I75" s="10"/>
    </row>
    <row r="76" spans="2:11" x14ac:dyDescent="0.2">
      <c r="B76" s="20" t="s">
        <v>12</v>
      </c>
      <c r="C76" s="24">
        <f>VLOOKUP(K66,'[1]FORM XIII'!C$14:P292,2,0)</f>
        <v>72222118</v>
      </c>
      <c r="D76" s="25"/>
      <c r="E76" s="25"/>
      <c r="F76" s="25"/>
      <c r="G76" s="25"/>
      <c r="H76" s="26"/>
      <c r="I76" s="10"/>
    </row>
    <row r="77" spans="2:11" x14ac:dyDescent="0.2">
      <c r="B77" s="20" t="s">
        <v>13</v>
      </c>
      <c r="C77" s="24" t="str">
        <f>VLOOKUP(K66,'[1]FORM XIII'!C$14:P292,8,0)</f>
        <v>HELPER</v>
      </c>
      <c r="D77" s="25"/>
      <c r="E77" s="25"/>
      <c r="F77" s="25"/>
      <c r="G77" s="25"/>
      <c r="H77" s="26"/>
      <c r="I77" s="10"/>
    </row>
    <row r="78" spans="2:11" ht="20.399999999999999" x14ac:dyDescent="0.2">
      <c r="B78" s="20" t="s">
        <v>14</v>
      </c>
      <c r="C78" s="44" t="s">
        <v>15</v>
      </c>
      <c r="D78" s="45"/>
      <c r="E78" s="45"/>
      <c r="F78" s="45"/>
      <c r="G78" s="45"/>
      <c r="H78" s="46"/>
      <c r="I78" s="10"/>
    </row>
    <row r="79" spans="2:11" x14ac:dyDescent="0.2">
      <c r="B79" s="20" t="s">
        <v>16</v>
      </c>
      <c r="C79" s="44" t="s">
        <v>17</v>
      </c>
      <c r="D79" s="45"/>
      <c r="E79" s="45"/>
      <c r="F79" s="45"/>
      <c r="G79" s="45"/>
      <c r="H79" s="46"/>
      <c r="I79" s="10"/>
    </row>
    <row r="80" spans="2:11" x14ac:dyDescent="0.2">
      <c r="B80" s="20" t="s">
        <v>18</v>
      </c>
      <c r="C80" s="47" t="s">
        <v>19</v>
      </c>
      <c r="D80" s="22"/>
      <c r="E80" s="22"/>
      <c r="F80" s="22"/>
      <c r="G80" s="22"/>
      <c r="H80" s="23"/>
      <c r="I80" s="10"/>
    </row>
    <row r="81" spans="2:11" x14ac:dyDescent="0.2">
      <c r="B81" s="30" t="s">
        <v>20</v>
      </c>
      <c r="C81" s="31"/>
      <c r="D81" s="32"/>
      <c r="E81" s="32"/>
      <c r="F81" s="32"/>
      <c r="G81" s="32"/>
      <c r="H81" s="33"/>
      <c r="I81" s="10"/>
    </row>
    <row r="82" spans="2:11" x14ac:dyDescent="0.2">
      <c r="B82" s="34" t="s">
        <v>21</v>
      </c>
      <c r="C82" s="35"/>
      <c r="D82" s="35"/>
      <c r="E82" s="35"/>
      <c r="F82" s="35"/>
      <c r="G82" s="35"/>
      <c r="H82" s="36"/>
      <c r="I82" s="10"/>
    </row>
    <row r="83" spans="2:11" x14ac:dyDescent="0.2">
      <c r="B83" s="37" t="s">
        <v>22</v>
      </c>
      <c r="C83" s="38" t="s">
        <v>23</v>
      </c>
      <c r="D83" s="38"/>
      <c r="E83" s="38"/>
      <c r="F83" s="38"/>
      <c r="G83" s="38"/>
      <c r="H83" s="39"/>
      <c r="I83" s="10"/>
    </row>
    <row r="84" spans="2:11" ht="10.8" thickBot="1" x14ac:dyDescent="0.25">
      <c r="B84" s="40"/>
      <c r="C84" s="41"/>
      <c r="D84" s="41"/>
      <c r="E84" s="41"/>
      <c r="F84" s="41"/>
      <c r="G84" s="41"/>
      <c r="H84" s="41"/>
      <c r="I84" s="42"/>
    </row>
    <row r="85" spans="2:11" ht="10.8" thickTop="1" x14ac:dyDescent="0.2"/>
    <row r="86" spans="2:11" ht="10.8" thickBot="1" x14ac:dyDescent="0.25"/>
    <row r="87" spans="2:11" ht="10.8" thickTop="1" x14ac:dyDescent="0.2">
      <c r="B87" s="4"/>
      <c r="C87" s="4"/>
      <c r="D87" s="4"/>
      <c r="E87" s="4"/>
      <c r="F87" s="4"/>
      <c r="G87" s="4"/>
      <c r="H87" s="4"/>
      <c r="I87" s="5"/>
      <c r="K87" s="2">
        <f>+K66+1</f>
        <v>5</v>
      </c>
    </row>
    <row r="88" spans="2:11" x14ac:dyDescent="0.2">
      <c r="B88" s="7" t="s">
        <v>0</v>
      </c>
      <c r="C88" s="8"/>
      <c r="D88" s="8"/>
      <c r="E88" s="8"/>
      <c r="F88" s="8"/>
      <c r="G88" s="8"/>
      <c r="H88" s="9"/>
      <c r="I88" s="10"/>
    </row>
    <row r="89" spans="2:11" x14ac:dyDescent="0.2">
      <c r="B89" s="11" t="s">
        <v>1</v>
      </c>
      <c r="C89" s="12"/>
      <c r="D89" s="12"/>
      <c r="E89" s="12"/>
      <c r="F89" s="12"/>
      <c r="G89" s="12"/>
      <c r="H89" s="13"/>
      <c r="I89" s="10"/>
    </row>
    <row r="90" spans="2:11" x14ac:dyDescent="0.2">
      <c r="B90" s="11" t="s">
        <v>2</v>
      </c>
      <c r="C90" s="12"/>
      <c r="D90" s="12"/>
      <c r="E90" s="12"/>
      <c r="F90" s="12"/>
      <c r="G90" s="12"/>
      <c r="H90" s="13"/>
      <c r="I90" s="10"/>
    </row>
    <row r="91" spans="2:11" x14ac:dyDescent="0.2">
      <c r="B91" s="14"/>
      <c r="H91" s="15"/>
      <c r="I91" s="10"/>
    </row>
    <row r="92" spans="2:11" x14ac:dyDescent="0.2">
      <c r="B92" s="16" t="s">
        <v>3</v>
      </c>
      <c r="C92" s="17" t="s">
        <v>4</v>
      </c>
      <c r="D92" s="18"/>
      <c r="E92" s="18"/>
      <c r="F92" s="18"/>
      <c r="G92" s="18"/>
      <c r="H92" s="19"/>
      <c r="I92" s="10"/>
    </row>
    <row r="93" spans="2:11" ht="20.399999999999999" x14ac:dyDescent="0.2">
      <c r="B93" s="20" t="s">
        <v>5</v>
      </c>
      <c r="C93" s="21" t="s">
        <v>6</v>
      </c>
      <c r="D93" s="22"/>
      <c r="E93" s="22"/>
      <c r="F93" s="22"/>
      <c r="G93" s="22"/>
      <c r="H93" s="23"/>
      <c r="I93" s="10"/>
    </row>
    <row r="94" spans="2:11" x14ac:dyDescent="0.2">
      <c r="B94" s="20" t="s">
        <v>7</v>
      </c>
      <c r="C94" s="21" t="s">
        <v>8</v>
      </c>
      <c r="D94" s="22"/>
      <c r="E94" s="22"/>
      <c r="F94" s="22"/>
      <c r="G94" s="22"/>
      <c r="H94" s="23"/>
      <c r="I94" s="10"/>
    </row>
    <row r="95" spans="2:11" x14ac:dyDescent="0.2">
      <c r="B95" s="20" t="s">
        <v>9</v>
      </c>
      <c r="C95" s="21" t="s">
        <v>10</v>
      </c>
      <c r="D95" s="22"/>
      <c r="E95" s="22"/>
      <c r="F95" s="22"/>
      <c r="G95" s="22"/>
      <c r="H95" s="23"/>
      <c r="I95" s="10"/>
    </row>
    <row r="96" spans="2:11" x14ac:dyDescent="0.2">
      <c r="B96" s="20" t="s">
        <v>11</v>
      </c>
      <c r="C96" s="24" t="str">
        <f>VLOOKUP(K87,'[1]FORM XIII'!C$14:P313,3,0)</f>
        <v>RAVINDRA</v>
      </c>
      <c r="D96" s="25"/>
      <c r="E96" s="25"/>
      <c r="F96" s="25"/>
      <c r="G96" s="25"/>
      <c r="H96" s="26"/>
      <c r="I96" s="10"/>
    </row>
    <row r="97" spans="2:11" x14ac:dyDescent="0.2">
      <c r="B97" s="20" t="s">
        <v>12</v>
      </c>
      <c r="C97" s="24">
        <f>VLOOKUP(K87,'[1]FORM XIII'!C$14:P313,2,0)</f>
        <v>72232186</v>
      </c>
      <c r="D97" s="25"/>
      <c r="E97" s="25"/>
      <c r="F97" s="25"/>
      <c r="G97" s="25"/>
      <c r="H97" s="26"/>
      <c r="I97" s="10"/>
    </row>
    <row r="98" spans="2:11" x14ac:dyDescent="0.2">
      <c r="B98" s="20" t="s">
        <v>13</v>
      </c>
      <c r="C98" s="24" t="str">
        <f>VLOOKUP(K87,'[1]FORM XIII'!C$14:P313,8,0)</f>
        <v>HELPER</v>
      </c>
      <c r="D98" s="25"/>
      <c r="E98" s="25"/>
      <c r="F98" s="25"/>
      <c r="G98" s="25"/>
      <c r="H98" s="26"/>
      <c r="I98" s="10"/>
    </row>
    <row r="99" spans="2:11" ht="20.399999999999999" x14ac:dyDescent="0.2">
      <c r="B99" s="20" t="s">
        <v>14</v>
      </c>
      <c r="C99" s="44" t="s">
        <v>15</v>
      </c>
      <c r="D99" s="45"/>
      <c r="E99" s="45"/>
      <c r="F99" s="45"/>
      <c r="G99" s="45"/>
      <c r="H99" s="46"/>
      <c r="I99" s="10"/>
    </row>
    <row r="100" spans="2:11" x14ac:dyDescent="0.2">
      <c r="B100" s="20" t="s">
        <v>16</v>
      </c>
      <c r="C100" s="44" t="s">
        <v>17</v>
      </c>
      <c r="D100" s="45"/>
      <c r="E100" s="45"/>
      <c r="F100" s="45"/>
      <c r="G100" s="45"/>
      <c r="H100" s="46"/>
      <c r="I100" s="10"/>
    </row>
    <row r="101" spans="2:11" x14ac:dyDescent="0.2">
      <c r="B101" s="20" t="s">
        <v>18</v>
      </c>
      <c r="C101" s="47" t="s">
        <v>19</v>
      </c>
      <c r="D101" s="22"/>
      <c r="E101" s="22"/>
      <c r="F101" s="22"/>
      <c r="G101" s="22"/>
      <c r="H101" s="23"/>
      <c r="I101" s="10"/>
    </row>
    <row r="102" spans="2:11" x14ac:dyDescent="0.2">
      <c r="B102" s="30" t="s">
        <v>20</v>
      </c>
      <c r="C102" s="31"/>
      <c r="D102" s="32"/>
      <c r="E102" s="32"/>
      <c r="F102" s="32"/>
      <c r="G102" s="32"/>
      <c r="H102" s="33"/>
      <c r="I102" s="10"/>
    </row>
    <row r="103" spans="2:11" x14ac:dyDescent="0.2">
      <c r="B103" s="34" t="s">
        <v>21</v>
      </c>
      <c r="C103" s="35"/>
      <c r="D103" s="35"/>
      <c r="E103" s="35"/>
      <c r="F103" s="35"/>
      <c r="G103" s="35"/>
      <c r="H103" s="36"/>
      <c r="I103" s="10"/>
    </row>
    <row r="104" spans="2:11" x14ac:dyDescent="0.2">
      <c r="B104" s="37" t="s">
        <v>22</v>
      </c>
      <c r="C104" s="38" t="s">
        <v>23</v>
      </c>
      <c r="D104" s="38"/>
      <c r="E104" s="38"/>
      <c r="F104" s="38"/>
      <c r="G104" s="38"/>
      <c r="H104" s="39"/>
      <c r="I104" s="10"/>
    </row>
    <row r="105" spans="2:11" ht="10.8" thickBot="1" x14ac:dyDescent="0.25">
      <c r="B105" s="40"/>
      <c r="C105" s="41"/>
      <c r="D105" s="41"/>
      <c r="E105" s="41"/>
      <c r="F105" s="41"/>
      <c r="G105" s="41"/>
      <c r="H105" s="41"/>
      <c r="I105" s="42"/>
    </row>
    <row r="106" spans="2:11" ht="10.8" thickTop="1" x14ac:dyDescent="0.2"/>
    <row r="107" spans="2:11" ht="10.8" thickBot="1" x14ac:dyDescent="0.25"/>
    <row r="108" spans="2:11" ht="10.8" thickTop="1" x14ac:dyDescent="0.2">
      <c r="B108" s="4"/>
      <c r="C108" s="4"/>
      <c r="D108" s="4"/>
      <c r="E108" s="4"/>
      <c r="F108" s="4"/>
      <c r="G108" s="4"/>
      <c r="H108" s="4"/>
      <c r="I108" s="5"/>
      <c r="K108" s="2">
        <f>+K87+1</f>
        <v>6</v>
      </c>
    </row>
    <row r="109" spans="2:11" x14ac:dyDescent="0.2">
      <c r="B109" s="7" t="s">
        <v>0</v>
      </c>
      <c r="C109" s="8"/>
      <c r="D109" s="8"/>
      <c r="E109" s="8"/>
      <c r="F109" s="8"/>
      <c r="G109" s="8"/>
      <c r="H109" s="9"/>
      <c r="I109" s="10"/>
    </row>
    <row r="110" spans="2:11" x14ac:dyDescent="0.2">
      <c r="B110" s="11" t="s">
        <v>1</v>
      </c>
      <c r="C110" s="12"/>
      <c r="D110" s="12"/>
      <c r="E110" s="12"/>
      <c r="F110" s="12"/>
      <c r="G110" s="12"/>
      <c r="H110" s="13"/>
      <c r="I110" s="10"/>
    </row>
    <row r="111" spans="2:11" x14ac:dyDescent="0.2">
      <c r="B111" s="11" t="s">
        <v>2</v>
      </c>
      <c r="C111" s="12"/>
      <c r="D111" s="12"/>
      <c r="E111" s="12"/>
      <c r="F111" s="12"/>
      <c r="G111" s="12"/>
      <c r="H111" s="13"/>
      <c r="I111" s="10"/>
    </row>
    <row r="112" spans="2:11" x14ac:dyDescent="0.2">
      <c r="B112" s="14"/>
      <c r="H112" s="15"/>
      <c r="I112" s="10"/>
    </row>
    <row r="113" spans="2:9" x14ac:dyDescent="0.2">
      <c r="B113" s="16" t="s">
        <v>3</v>
      </c>
      <c r="C113" s="17" t="s">
        <v>4</v>
      </c>
      <c r="D113" s="18"/>
      <c r="E113" s="18"/>
      <c r="F113" s="18"/>
      <c r="G113" s="18"/>
      <c r="H113" s="19"/>
      <c r="I113" s="10"/>
    </row>
    <row r="114" spans="2:9" ht="20.399999999999999" x14ac:dyDescent="0.2">
      <c r="B114" s="20" t="s">
        <v>5</v>
      </c>
      <c r="C114" s="21" t="s">
        <v>6</v>
      </c>
      <c r="D114" s="22"/>
      <c r="E114" s="22"/>
      <c r="F114" s="22"/>
      <c r="G114" s="22"/>
      <c r="H114" s="23"/>
      <c r="I114" s="10"/>
    </row>
    <row r="115" spans="2:9" x14ac:dyDescent="0.2">
      <c r="B115" s="20" t="s">
        <v>7</v>
      </c>
      <c r="C115" s="21" t="s">
        <v>8</v>
      </c>
      <c r="D115" s="22"/>
      <c r="E115" s="22"/>
      <c r="F115" s="22"/>
      <c r="G115" s="22"/>
      <c r="H115" s="23"/>
      <c r="I115" s="10"/>
    </row>
    <row r="116" spans="2:9" x14ac:dyDescent="0.2">
      <c r="B116" s="20" t="s">
        <v>9</v>
      </c>
      <c r="C116" s="21" t="s">
        <v>10</v>
      </c>
      <c r="D116" s="22"/>
      <c r="E116" s="22"/>
      <c r="F116" s="22"/>
      <c r="G116" s="22"/>
      <c r="H116" s="23"/>
      <c r="I116" s="10"/>
    </row>
    <row r="117" spans="2:9" x14ac:dyDescent="0.2">
      <c r="B117" s="20" t="s">
        <v>11</v>
      </c>
      <c r="C117" s="24" t="str">
        <f>VLOOKUP(K108,'[1]FORM XIII'!C$14:P334,3,0)</f>
        <v>ASLAM KHAN</v>
      </c>
      <c r="D117" s="25"/>
      <c r="E117" s="25"/>
      <c r="F117" s="25"/>
      <c r="G117" s="25"/>
      <c r="H117" s="26"/>
      <c r="I117" s="10"/>
    </row>
    <row r="118" spans="2:9" x14ac:dyDescent="0.2">
      <c r="B118" s="20" t="s">
        <v>12</v>
      </c>
      <c r="C118" s="24">
        <f>VLOOKUP(K108,'[1]FORM XIII'!C$14:P334,2,0)</f>
        <v>72232120</v>
      </c>
      <c r="D118" s="25"/>
      <c r="E118" s="25"/>
      <c r="F118" s="25"/>
      <c r="G118" s="25"/>
      <c r="H118" s="26"/>
      <c r="I118" s="10"/>
    </row>
    <row r="119" spans="2:9" x14ac:dyDescent="0.2">
      <c r="B119" s="20" t="s">
        <v>13</v>
      </c>
      <c r="C119" s="24" t="str">
        <f>VLOOKUP(K108,'[1]FORM XIII'!C$14:P334,8,0)</f>
        <v/>
      </c>
      <c r="D119" s="25"/>
      <c r="E119" s="25"/>
      <c r="F119" s="25"/>
      <c r="G119" s="25"/>
      <c r="H119" s="26"/>
      <c r="I119" s="10"/>
    </row>
    <row r="120" spans="2:9" ht="20.399999999999999" x14ac:dyDescent="0.2">
      <c r="B120" s="20" t="s">
        <v>14</v>
      </c>
      <c r="C120" s="44" t="s">
        <v>15</v>
      </c>
      <c r="D120" s="45"/>
      <c r="E120" s="45"/>
      <c r="F120" s="45"/>
      <c r="G120" s="45"/>
      <c r="H120" s="46"/>
      <c r="I120" s="10"/>
    </row>
    <row r="121" spans="2:9" x14ac:dyDescent="0.2">
      <c r="B121" s="20" t="s">
        <v>16</v>
      </c>
      <c r="C121" s="44" t="s">
        <v>17</v>
      </c>
      <c r="D121" s="45"/>
      <c r="E121" s="45"/>
      <c r="F121" s="45"/>
      <c r="G121" s="45"/>
      <c r="H121" s="46"/>
      <c r="I121" s="10"/>
    </row>
    <row r="122" spans="2:9" x14ac:dyDescent="0.2">
      <c r="B122" s="20" t="s">
        <v>18</v>
      </c>
      <c r="C122" s="47" t="s">
        <v>19</v>
      </c>
      <c r="D122" s="22"/>
      <c r="E122" s="22"/>
      <c r="F122" s="22"/>
      <c r="G122" s="22"/>
      <c r="H122" s="23"/>
      <c r="I122" s="10"/>
    </row>
    <row r="123" spans="2:9" x14ac:dyDescent="0.2">
      <c r="B123" s="30" t="s">
        <v>20</v>
      </c>
      <c r="C123" s="31"/>
      <c r="D123" s="32"/>
      <c r="E123" s="32"/>
      <c r="F123" s="32"/>
      <c r="G123" s="32"/>
      <c r="H123" s="33"/>
      <c r="I123" s="10"/>
    </row>
    <row r="124" spans="2:9" x14ac:dyDescent="0.2">
      <c r="B124" s="34" t="s">
        <v>21</v>
      </c>
      <c r="C124" s="35"/>
      <c r="D124" s="35"/>
      <c r="E124" s="35"/>
      <c r="F124" s="35"/>
      <c r="G124" s="35"/>
      <c r="H124" s="36"/>
      <c r="I124" s="10"/>
    </row>
    <row r="125" spans="2:9" x14ac:dyDescent="0.2">
      <c r="B125" s="37" t="s">
        <v>22</v>
      </c>
      <c r="C125" s="38" t="s">
        <v>23</v>
      </c>
      <c r="D125" s="38"/>
      <c r="E125" s="38"/>
      <c r="F125" s="38"/>
      <c r="G125" s="38"/>
      <c r="H125" s="39"/>
      <c r="I125" s="10"/>
    </row>
    <row r="126" spans="2:9" ht="10.8" thickBot="1" x14ac:dyDescent="0.25">
      <c r="B126" s="40"/>
      <c r="C126" s="41"/>
      <c r="D126" s="41"/>
      <c r="E126" s="41"/>
      <c r="F126" s="41"/>
      <c r="G126" s="41"/>
      <c r="H126" s="41"/>
      <c r="I126" s="42"/>
    </row>
    <row r="127" spans="2:9" ht="10.8" thickTop="1" x14ac:dyDescent="0.2"/>
    <row r="128" spans="2:9" ht="10.8" thickBot="1" x14ac:dyDescent="0.25"/>
    <row r="129" spans="2:11" ht="10.8" thickTop="1" x14ac:dyDescent="0.2">
      <c r="B129" s="4"/>
      <c r="C129" s="4"/>
      <c r="D129" s="4"/>
      <c r="E129" s="4"/>
      <c r="F129" s="4"/>
      <c r="G129" s="4"/>
      <c r="H129" s="4"/>
      <c r="I129" s="5"/>
      <c r="K129" s="2">
        <f>+K108+1</f>
        <v>7</v>
      </c>
    </row>
    <row r="130" spans="2:11" x14ac:dyDescent="0.2">
      <c r="B130" s="7" t="s">
        <v>0</v>
      </c>
      <c r="C130" s="8"/>
      <c r="D130" s="8"/>
      <c r="E130" s="8"/>
      <c r="F130" s="8"/>
      <c r="G130" s="8"/>
      <c r="H130" s="9"/>
      <c r="I130" s="10"/>
    </row>
    <row r="131" spans="2:11" x14ac:dyDescent="0.2">
      <c r="B131" s="11" t="s">
        <v>1</v>
      </c>
      <c r="C131" s="12"/>
      <c r="D131" s="12"/>
      <c r="E131" s="12"/>
      <c r="F131" s="12"/>
      <c r="G131" s="12"/>
      <c r="H131" s="13"/>
      <c r="I131" s="10"/>
    </row>
    <row r="132" spans="2:11" x14ac:dyDescent="0.2">
      <c r="B132" s="11" t="s">
        <v>2</v>
      </c>
      <c r="C132" s="12"/>
      <c r="D132" s="12"/>
      <c r="E132" s="12"/>
      <c r="F132" s="12"/>
      <c r="G132" s="12"/>
      <c r="H132" s="13"/>
      <c r="I132" s="10"/>
    </row>
    <row r="133" spans="2:11" x14ac:dyDescent="0.2">
      <c r="B133" s="14"/>
      <c r="H133" s="15"/>
      <c r="I133" s="10"/>
    </row>
    <row r="134" spans="2:11" x14ac:dyDescent="0.2">
      <c r="B134" s="16" t="s">
        <v>3</v>
      </c>
      <c r="C134" s="17" t="s">
        <v>4</v>
      </c>
      <c r="D134" s="18"/>
      <c r="E134" s="18"/>
      <c r="F134" s="18"/>
      <c r="G134" s="18"/>
      <c r="H134" s="19"/>
      <c r="I134" s="10"/>
    </row>
    <row r="135" spans="2:11" ht="20.399999999999999" x14ac:dyDescent="0.2">
      <c r="B135" s="20" t="s">
        <v>5</v>
      </c>
      <c r="C135" s="21" t="s">
        <v>6</v>
      </c>
      <c r="D135" s="22"/>
      <c r="E135" s="22"/>
      <c r="F135" s="22"/>
      <c r="G135" s="22"/>
      <c r="H135" s="23"/>
      <c r="I135" s="10"/>
    </row>
    <row r="136" spans="2:11" x14ac:dyDescent="0.2">
      <c r="B136" s="20" t="s">
        <v>7</v>
      </c>
      <c r="C136" s="21" t="s">
        <v>8</v>
      </c>
      <c r="D136" s="22"/>
      <c r="E136" s="22"/>
      <c r="F136" s="22"/>
      <c r="G136" s="22"/>
      <c r="H136" s="23"/>
      <c r="I136" s="10"/>
    </row>
    <row r="137" spans="2:11" x14ac:dyDescent="0.2">
      <c r="B137" s="20" t="s">
        <v>9</v>
      </c>
      <c r="C137" s="21" t="s">
        <v>10</v>
      </c>
      <c r="D137" s="22"/>
      <c r="E137" s="22"/>
      <c r="F137" s="22"/>
      <c r="G137" s="22"/>
      <c r="H137" s="23"/>
      <c r="I137" s="10"/>
    </row>
    <row r="138" spans="2:11" x14ac:dyDescent="0.2">
      <c r="B138" s="20" t="s">
        <v>11</v>
      </c>
      <c r="C138" s="24" t="str">
        <f>VLOOKUP(K129,'[1]FORM XIII'!C$14:P355,3,0)</f>
        <v>SURJEET</v>
      </c>
      <c r="D138" s="25"/>
      <c r="E138" s="25"/>
      <c r="F138" s="25"/>
      <c r="G138" s="25"/>
      <c r="H138" s="26"/>
      <c r="I138" s="10"/>
    </row>
    <row r="139" spans="2:11" x14ac:dyDescent="0.2">
      <c r="B139" s="20" t="s">
        <v>12</v>
      </c>
      <c r="C139" s="24">
        <f>VLOOKUP(K129,'[1]FORM XIII'!C$14:P355,2,0)</f>
        <v>72232124</v>
      </c>
      <c r="D139" s="25"/>
      <c r="E139" s="25"/>
      <c r="F139" s="25"/>
      <c r="G139" s="25"/>
      <c r="H139" s="26"/>
      <c r="I139" s="10"/>
    </row>
    <row r="140" spans="2:11" x14ac:dyDescent="0.2">
      <c r="B140" s="20" t="s">
        <v>13</v>
      </c>
      <c r="C140" s="24" t="str">
        <f>VLOOKUP(K129,'[1]FORM XIII'!C$14:P355,8,0)</f>
        <v/>
      </c>
      <c r="D140" s="25"/>
      <c r="E140" s="25"/>
      <c r="F140" s="25"/>
      <c r="G140" s="25"/>
      <c r="H140" s="26"/>
      <c r="I140" s="10"/>
    </row>
    <row r="141" spans="2:11" ht="20.399999999999999" x14ac:dyDescent="0.2">
      <c r="B141" s="20" t="s">
        <v>14</v>
      </c>
      <c r="C141" s="44" t="s">
        <v>15</v>
      </c>
      <c r="D141" s="45"/>
      <c r="E141" s="45"/>
      <c r="F141" s="45"/>
      <c r="G141" s="45"/>
      <c r="H141" s="46"/>
      <c r="I141" s="10"/>
    </row>
    <row r="142" spans="2:11" x14ac:dyDescent="0.2">
      <c r="B142" s="20" t="s">
        <v>16</v>
      </c>
      <c r="C142" s="44" t="s">
        <v>17</v>
      </c>
      <c r="D142" s="45"/>
      <c r="E142" s="45"/>
      <c r="F142" s="45"/>
      <c r="G142" s="45"/>
      <c r="H142" s="46"/>
      <c r="I142" s="10"/>
    </row>
    <row r="143" spans="2:11" x14ac:dyDescent="0.2">
      <c r="B143" s="20" t="s">
        <v>18</v>
      </c>
      <c r="C143" s="47" t="s">
        <v>19</v>
      </c>
      <c r="D143" s="22"/>
      <c r="E143" s="22"/>
      <c r="F143" s="22"/>
      <c r="G143" s="22"/>
      <c r="H143" s="23"/>
      <c r="I143" s="10"/>
    </row>
    <row r="144" spans="2:11" x14ac:dyDescent="0.2">
      <c r="B144" s="30" t="s">
        <v>20</v>
      </c>
      <c r="C144" s="31"/>
      <c r="D144" s="32"/>
      <c r="E144" s="32"/>
      <c r="F144" s="32"/>
      <c r="G144" s="32"/>
      <c r="H144" s="33"/>
      <c r="I144" s="10"/>
    </row>
    <row r="145" spans="2:11" x14ac:dyDescent="0.2">
      <c r="B145" s="34" t="s">
        <v>21</v>
      </c>
      <c r="C145" s="35"/>
      <c r="D145" s="35"/>
      <c r="E145" s="35"/>
      <c r="F145" s="35"/>
      <c r="G145" s="35"/>
      <c r="H145" s="36"/>
      <c r="I145" s="10"/>
    </row>
    <row r="146" spans="2:11" x14ac:dyDescent="0.2">
      <c r="B146" s="37" t="s">
        <v>22</v>
      </c>
      <c r="C146" s="38" t="s">
        <v>23</v>
      </c>
      <c r="D146" s="38"/>
      <c r="E146" s="38"/>
      <c r="F146" s="38"/>
      <c r="G146" s="38"/>
      <c r="H146" s="39"/>
      <c r="I146" s="10"/>
    </row>
    <row r="147" spans="2:11" ht="10.8" thickBot="1" x14ac:dyDescent="0.25">
      <c r="B147" s="40"/>
      <c r="C147" s="41"/>
      <c r="D147" s="41"/>
      <c r="E147" s="41"/>
      <c r="F147" s="41"/>
      <c r="G147" s="41"/>
      <c r="H147" s="41"/>
      <c r="I147" s="42"/>
    </row>
    <row r="148" spans="2:11" ht="10.8" thickTop="1" x14ac:dyDescent="0.2"/>
    <row r="149" spans="2:11" ht="10.8" thickBot="1" x14ac:dyDescent="0.25"/>
    <row r="150" spans="2:11" ht="10.8" thickTop="1" x14ac:dyDescent="0.2">
      <c r="B150" s="4"/>
      <c r="C150" s="4"/>
      <c r="D150" s="4"/>
      <c r="E150" s="4"/>
      <c r="F150" s="4"/>
      <c r="G150" s="4"/>
      <c r="H150" s="4"/>
      <c r="I150" s="5"/>
      <c r="K150" s="2">
        <f>+K129+1</f>
        <v>8</v>
      </c>
    </row>
    <row r="151" spans="2:11" x14ac:dyDescent="0.2">
      <c r="B151" s="7" t="s">
        <v>0</v>
      </c>
      <c r="C151" s="8"/>
      <c r="D151" s="8"/>
      <c r="E151" s="8"/>
      <c r="F151" s="8"/>
      <c r="G151" s="8"/>
      <c r="H151" s="9"/>
      <c r="I151" s="10"/>
    </row>
    <row r="152" spans="2:11" x14ac:dyDescent="0.2">
      <c r="B152" s="11" t="s">
        <v>1</v>
      </c>
      <c r="C152" s="12"/>
      <c r="D152" s="12"/>
      <c r="E152" s="12"/>
      <c r="F152" s="12"/>
      <c r="G152" s="12"/>
      <c r="H152" s="13"/>
      <c r="I152" s="10"/>
    </row>
    <row r="153" spans="2:11" x14ac:dyDescent="0.2">
      <c r="B153" s="11" t="s">
        <v>2</v>
      </c>
      <c r="C153" s="12"/>
      <c r="D153" s="12"/>
      <c r="E153" s="12"/>
      <c r="F153" s="12"/>
      <c r="G153" s="12"/>
      <c r="H153" s="13"/>
      <c r="I153" s="10"/>
    </row>
    <row r="154" spans="2:11" x14ac:dyDescent="0.2">
      <c r="B154" s="14"/>
      <c r="H154" s="15"/>
      <c r="I154" s="10"/>
    </row>
    <row r="155" spans="2:11" x14ac:dyDescent="0.2">
      <c r="B155" s="16" t="s">
        <v>3</v>
      </c>
      <c r="C155" s="17" t="s">
        <v>4</v>
      </c>
      <c r="D155" s="18"/>
      <c r="E155" s="18"/>
      <c r="F155" s="18"/>
      <c r="G155" s="18"/>
      <c r="H155" s="19"/>
      <c r="I155" s="10"/>
    </row>
    <row r="156" spans="2:11" ht="20.399999999999999" x14ac:dyDescent="0.2">
      <c r="B156" s="20" t="s">
        <v>5</v>
      </c>
      <c r="C156" s="21" t="s">
        <v>6</v>
      </c>
      <c r="D156" s="22"/>
      <c r="E156" s="22"/>
      <c r="F156" s="22"/>
      <c r="G156" s="22"/>
      <c r="H156" s="23"/>
      <c r="I156" s="10"/>
    </row>
    <row r="157" spans="2:11" x14ac:dyDescent="0.2">
      <c r="B157" s="20" t="s">
        <v>7</v>
      </c>
      <c r="C157" s="21" t="s">
        <v>8</v>
      </c>
      <c r="D157" s="22"/>
      <c r="E157" s="22"/>
      <c r="F157" s="22"/>
      <c r="G157" s="22"/>
      <c r="H157" s="23"/>
      <c r="I157" s="10"/>
    </row>
    <row r="158" spans="2:11" x14ac:dyDescent="0.2">
      <c r="B158" s="20" t="s">
        <v>9</v>
      </c>
      <c r="C158" s="21" t="s">
        <v>10</v>
      </c>
      <c r="D158" s="22"/>
      <c r="E158" s="22"/>
      <c r="F158" s="22"/>
      <c r="G158" s="22"/>
      <c r="H158" s="23"/>
      <c r="I158" s="10"/>
    </row>
    <row r="159" spans="2:11" x14ac:dyDescent="0.2">
      <c r="B159" s="20" t="s">
        <v>11</v>
      </c>
      <c r="C159" s="24" t="str">
        <f>VLOOKUP(K150,'[1]FORM XIII'!C$14:P376,3,0)</f>
        <v>AJAY KUMAR</v>
      </c>
      <c r="D159" s="25"/>
      <c r="E159" s="25"/>
      <c r="F159" s="25"/>
      <c r="G159" s="25"/>
      <c r="H159" s="26"/>
      <c r="I159" s="10"/>
    </row>
    <row r="160" spans="2:11" x14ac:dyDescent="0.2">
      <c r="B160" s="20" t="s">
        <v>12</v>
      </c>
      <c r="C160" s="24">
        <f>VLOOKUP(K150,'[1]FORM XIII'!C$14:P376,2,0)</f>
        <v>72232127</v>
      </c>
      <c r="D160" s="25"/>
      <c r="E160" s="25"/>
      <c r="F160" s="25"/>
      <c r="G160" s="25"/>
      <c r="H160" s="26"/>
      <c r="I160" s="10"/>
    </row>
    <row r="161" spans="2:11" x14ac:dyDescent="0.2">
      <c r="B161" s="20" t="s">
        <v>13</v>
      </c>
      <c r="C161" s="24" t="str">
        <f>VLOOKUP(K150,'[1]FORM XIII'!C$14:P376,8,0)</f>
        <v/>
      </c>
      <c r="D161" s="25"/>
      <c r="E161" s="25"/>
      <c r="F161" s="25"/>
      <c r="G161" s="25"/>
      <c r="H161" s="26"/>
      <c r="I161" s="10"/>
    </row>
    <row r="162" spans="2:11" ht="20.399999999999999" x14ac:dyDescent="0.2">
      <c r="B162" s="20" t="s">
        <v>14</v>
      </c>
      <c r="C162" s="44" t="s">
        <v>15</v>
      </c>
      <c r="D162" s="45"/>
      <c r="E162" s="45"/>
      <c r="F162" s="45"/>
      <c r="G162" s="45"/>
      <c r="H162" s="46"/>
      <c r="I162" s="10"/>
    </row>
    <row r="163" spans="2:11" x14ac:dyDescent="0.2">
      <c r="B163" s="20" t="s">
        <v>16</v>
      </c>
      <c r="C163" s="44" t="s">
        <v>17</v>
      </c>
      <c r="D163" s="45"/>
      <c r="E163" s="45"/>
      <c r="F163" s="45"/>
      <c r="G163" s="45"/>
      <c r="H163" s="46"/>
      <c r="I163" s="10"/>
    </row>
    <row r="164" spans="2:11" x14ac:dyDescent="0.2">
      <c r="B164" s="20" t="s">
        <v>18</v>
      </c>
      <c r="C164" s="47" t="s">
        <v>19</v>
      </c>
      <c r="D164" s="22"/>
      <c r="E164" s="22"/>
      <c r="F164" s="22"/>
      <c r="G164" s="22"/>
      <c r="H164" s="23"/>
      <c r="I164" s="10"/>
    </row>
    <row r="165" spans="2:11" x14ac:dyDescent="0.2">
      <c r="B165" s="30" t="s">
        <v>20</v>
      </c>
      <c r="C165" s="31"/>
      <c r="D165" s="32"/>
      <c r="E165" s="32"/>
      <c r="F165" s="32"/>
      <c r="G165" s="32"/>
      <c r="H165" s="33"/>
      <c r="I165" s="10"/>
    </row>
    <row r="166" spans="2:11" x14ac:dyDescent="0.2">
      <c r="B166" s="34" t="s">
        <v>21</v>
      </c>
      <c r="C166" s="35"/>
      <c r="D166" s="35"/>
      <c r="E166" s="35"/>
      <c r="F166" s="35"/>
      <c r="G166" s="35"/>
      <c r="H166" s="36"/>
      <c r="I166" s="10"/>
    </row>
    <row r="167" spans="2:11" x14ac:dyDescent="0.2">
      <c r="B167" s="37" t="s">
        <v>22</v>
      </c>
      <c r="C167" s="38" t="s">
        <v>23</v>
      </c>
      <c r="D167" s="38"/>
      <c r="E167" s="38"/>
      <c r="F167" s="38"/>
      <c r="G167" s="38"/>
      <c r="H167" s="39"/>
      <c r="I167" s="10"/>
    </row>
    <row r="168" spans="2:11" ht="10.8" thickBot="1" x14ac:dyDescent="0.25">
      <c r="B168" s="40"/>
      <c r="C168" s="41"/>
      <c r="D168" s="41"/>
      <c r="E168" s="41"/>
      <c r="F168" s="41"/>
      <c r="G168" s="41"/>
      <c r="H168" s="41"/>
      <c r="I168" s="42"/>
    </row>
    <row r="169" spans="2:11" ht="10.8" thickTop="1" x14ac:dyDescent="0.2"/>
    <row r="170" spans="2:11" ht="10.8" thickBot="1" x14ac:dyDescent="0.25"/>
    <row r="171" spans="2:11" ht="10.8" thickTop="1" x14ac:dyDescent="0.2">
      <c r="B171" s="4"/>
      <c r="C171" s="4"/>
      <c r="D171" s="4"/>
      <c r="E171" s="4"/>
      <c r="F171" s="4"/>
      <c r="G171" s="4"/>
      <c r="H171" s="4"/>
      <c r="I171" s="5"/>
      <c r="K171" s="2">
        <f>+K150+1</f>
        <v>9</v>
      </c>
    </row>
    <row r="172" spans="2:11" x14ac:dyDescent="0.2">
      <c r="B172" s="7" t="s">
        <v>0</v>
      </c>
      <c r="C172" s="8"/>
      <c r="D172" s="8"/>
      <c r="E172" s="8"/>
      <c r="F172" s="8"/>
      <c r="G172" s="8"/>
      <c r="H172" s="9"/>
      <c r="I172" s="10"/>
    </row>
    <row r="173" spans="2:11" x14ac:dyDescent="0.2">
      <c r="B173" s="11" t="s">
        <v>1</v>
      </c>
      <c r="C173" s="12"/>
      <c r="D173" s="12"/>
      <c r="E173" s="12"/>
      <c r="F173" s="12"/>
      <c r="G173" s="12"/>
      <c r="H173" s="13"/>
      <c r="I173" s="10"/>
    </row>
    <row r="174" spans="2:11" x14ac:dyDescent="0.2">
      <c r="B174" s="11" t="s">
        <v>2</v>
      </c>
      <c r="C174" s="12"/>
      <c r="D174" s="12"/>
      <c r="E174" s="12"/>
      <c r="F174" s="12"/>
      <c r="G174" s="12"/>
      <c r="H174" s="13"/>
      <c r="I174" s="10"/>
    </row>
    <row r="175" spans="2:11" x14ac:dyDescent="0.2">
      <c r="B175" s="14"/>
      <c r="H175" s="15"/>
      <c r="I175" s="10"/>
    </row>
    <row r="176" spans="2:11" x14ac:dyDescent="0.2">
      <c r="B176" s="16" t="s">
        <v>3</v>
      </c>
      <c r="C176" s="17" t="s">
        <v>4</v>
      </c>
      <c r="D176" s="18"/>
      <c r="E176" s="18"/>
      <c r="F176" s="18"/>
      <c r="G176" s="18"/>
      <c r="H176" s="19"/>
      <c r="I176" s="10"/>
    </row>
    <row r="177" spans="2:11" ht="20.399999999999999" x14ac:dyDescent="0.2">
      <c r="B177" s="20" t="s">
        <v>5</v>
      </c>
      <c r="C177" s="21" t="s">
        <v>6</v>
      </c>
      <c r="D177" s="22"/>
      <c r="E177" s="22"/>
      <c r="F177" s="22"/>
      <c r="G177" s="22"/>
      <c r="H177" s="23"/>
      <c r="I177" s="10"/>
    </row>
    <row r="178" spans="2:11" x14ac:dyDescent="0.2">
      <c r="B178" s="20" t="s">
        <v>7</v>
      </c>
      <c r="C178" s="21" t="s">
        <v>8</v>
      </c>
      <c r="D178" s="22"/>
      <c r="E178" s="22"/>
      <c r="F178" s="22"/>
      <c r="G178" s="22"/>
      <c r="H178" s="23"/>
      <c r="I178" s="10"/>
    </row>
    <row r="179" spans="2:11" x14ac:dyDescent="0.2">
      <c r="B179" s="20" t="s">
        <v>9</v>
      </c>
      <c r="C179" s="21" t="s">
        <v>10</v>
      </c>
      <c r="D179" s="22"/>
      <c r="E179" s="22"/>
      <c r="F179" s="22"/>
      <c r="G179" s="22"/>
      <c r="H179" s="23"/>
      <c r="I179" s="10"/>
    </row>
    <row r="180" spans="2:11" x14ac:dyDescent="0.2">
      <c r="B180" s="20" t="s">
        <v>11</v>
      </c>
      <c r="C180" s="24" t="str">
        <f>VLOOKUP(K171,'[1]FORM XIII'!C$14:P397,3,0)</f>
        <v>HEERALAL</v>
      </c>
      <c r="D180" s="25"/>
      <c r="E180" s="25"/>
      <c r="F180" s="25"/>
      <c r="G180" s="25"/>
      <c r="H180" s="26"/>
      <c r="I180" s="10"/>
    </row>
    <row r="181" spans="2:11" x14ac:dyDescent="0.2">
      <c r="B181" s="20" t="s">
        <v>12</v>
      </c>
      <c r="C181" s="24">
        <f>VLOOKUP(K171,'[1]FORM XIII'!C$14:P397,2,0)</f>
        <v>72232131</v>
      </c>
      <c r="D181" s="25"/>
      <c r="E181" s="25"/>
      <c r="F181" s="25"/>
      <c r="G181" s="25"/>
      <c r="H181" s="26"/>
      <c r="I181" s="10"/>
    </row>
    <row r="182" spans="2:11" x14ac:dyDescent="0.2">
      <c r="B182" s="20" t="s">
        <v>13</v>
      </c>
      <c r="C182" s="24" t="str">
        <f>VLOOKUP(K171,'[1]FORM XIII'!C$14:P397,8,0)</f>
        <v/>
      </c>
      <c r="D182" s="25"/>
      <c r="E182" s="25"/>
      <c r="F182" s="25"/>
      <c r="G182" s="25"/>
      <c r="H182" s="26"/>
      <c r="I182" s="10"/>
    </row>
    <row r="183" spans="2:11" ht="20.399999999999999" x14ac:dyDescent="0.2">
      <c r="B183" s="20" t="s">
        <v>14</v>
      </c>
      <c r="C183" s="44" t="s">
        <v>15</v>
      </c>
      <c r="D183" s="45"/>
      <c r="E183" s="45"/>
      <c r="F183" s="45"/>
      <c r="G183" s="45"/>
      <c r="H183" s="46"/>
      <c r="I183" s="10"/>
    </row>
    <row r="184" spans="2:11" x14ac:dyDescent="0.2">
      <c r="B184" s="20" t="s">
        <v>16</v>
      </c>
      <c r="C184" s="44" t="s">
        <v>17</v>
      </c>
      <c r="D184" s="45"/>
      <c r="E184" s="45"/>
      <c r="F184" s="45"/>
      <c r="G184" s="45"/>
      <c r="H184" s="46"/>
      <c r="I184" s="10"/>
    </row>
    <row r="185" spans="2:11" x14ac:dyDescent="0.2">
      <c r="B185" s="20" t="s">
        <v>18</v>
      </c>
      <c r="C185" s="47" t="s">
        <v>19</v>
      </c>
      <c r="D185" s="22"/>
      <c r="E185" s="22"/>
      <c r="F185" s="22"/>
      <c r="G185" s="22"/>
      <c r="H185" s="23"/>
      <c r="I185" s="10"/>
    </row>
    <row r="186" spans="2:11" x14ac:dyDescent="0.2">
      <c r="B186" s="30" t="s">
        <v>20</v>
      </c>
      <c r="C186" s="31"/>
      <c r="D186" s="32"/>
      <c r="E186" s="32"/>
      <c r="F186" s="32"/>
      <c r="G186" s="32"/>
      <c r="H186" s="33"/>
      <c r="I186" s="10"/>
    </row>
    <row r="187" spans="2:11" x14ac:dyDescent="0.2">
      <c r="B187" s="34" t="s">
        <v>21</v>
      </c>
      <c r="C187" s="35"/>
      <c r="D187" s="35"/>
      <c r="E187" s="35"/>
      <c r="F187" s="35"/>
      <c r="G187" s="35"/>
      <c r="H187" s="36"/>
      <c r="I187" s="10"/>
    </row>
    <row r="188" spans="2:11" x14ac:dyDescent="0.2">
      <c r="B188" s="37" t="s">
        <v>22</v>
      </c>
      <c r="C188" s="38" t="s">
        <v>23</v>
      </c>
      <c r="D188" s="38"/>
      <c r="E188" s="38"/>
      <c r="F188" s="38"/>
      <c r="G188" s="38"/>
      <c r="H188" s="39"/>
      <c r="I188" s="10"/>
    </row>
    <row r="189" spans="2:11" ht="10.8" thickBot="1" x14ac:dyDescent="0.25">
      <c r="B189" s="40"/>
      <c r="C189" s="41"/>
      <c r="D189" s="41"/>
      <c r="E189" s="41"/>
      <c r="F189" s="41"/>
      <c r="G189" s="41"/>
      <c r="H189" s="41"/>
      <c r="I189" s="42"/>
    </row>
    <row r="190" spans="2:11" ht="10.8" thickTop="1" x14ac:dyDescent="0.2"/>
    <row r="191" spans="2:11" ht="10.8" thickBot="1" x14ac:dyDescent="0.25"/>
    <row r="192" spans="2:11" ht="10.8" thickTop="1" x14ac:dyDescent="0.2">
      <c r="B192" s="4"/>
      <c r="C192" s="4"/>
      <c r="D192" s="4"/>
      <c r="E192" s="4"/>
      <c r="F192" s="4"/>
      <c r="G192" s="4"/>
      <c r="H192" s="4"/>
      <c r="I192" s="5"/>
      <c r="K192" s="2">
        <f>+K171+1</f>
        <v>10</v>
      </c>
    </row>
    <row r="193" spans="2:9" x14ac:dyDescent="0.2">
      <c r="B193" s="7" t="s">
        <v>0</v>
      </c>
      <c r="C193" s="8"/>
      <c r="D193" s="8"/>
      <c r="E193" s="8"/>
      <c r="F193" s="8"/>
      <c r="G193" s="8"/>
      <c r="H193" s="9"/>
      <c r="I193" s="10"/>
    </row>
    <row r="194" spans="2:9" x14ac:dyDescent="0.2">
      <c r="B194" s="11" t="s">
        <v>1</v>
      </c>
      <c r="C194" s="12"/>
      <c r="D194" s="12"/>
      <c r="E194" s="12"/>
      <c r="F194" s="12"/>
      <c r="G194" s="12"/>
      <c r="H194" s="13"/>
      <c r="I194" s="10"/>
    </row>
    <row r="195" spans="2:9" x14ac:dyDescent="0.2">
      <c r="B195" s="11" t="s">
        <v>2</v>
      </c>
      <c r="C195" s="12"/>
      <c r="D195" s="12"/>
      <c r="E195" s="12"/>
      <c r="F195" s="12"/>
      <c r="G195" s="12"/>
      <c r="H195" s="13"/>
      <c r="I195" s="10"/>
    </row>
    <row r="196" spans="2:9" x14ac:dyDescent="0.2">
      <c r="B196" s="14"/>
      <c r="H196" s="15"/>
      <c r="I196" s="10"/>
    </row>
    <row r="197" spans="2:9" x14ac:dyDescent="0.2">
      <c r="B197" s="16" t="s">
        <v>3</v>
      </c>
      <c r="C197" s="17" t="s">
        <v>4</v>
      </c>
      <c r="D197" s="18"/>
      <c r="E197" s="18"/>
      <c r="F197" s="18"/>
      <c r="G197" s="18"/>
      <c r="H197" s="19"/>
      <c r="I197" s="10"/>
    </row>
    <row r="198" spans="2:9" ht="20.399999999999999" x14ac:dyDescent="0.2">
      <c r="B198" s="20" t="s">
        <v>5</v>
      </c>
      <c r="C198" s="21" t="s">
        <v>6</v>
      </c>
      <c r="D198" s="22"/>
      <c r="E198" s="22"/>
      <c r="F198" s="22"/>
      <c r="G198" s="22"/>
      <c r="H198" s="23"/>
      <c r="I198" s="10"/>
    </row>
    <row r="199" spans="2:9" x14ac:dyDescent="0.2">
      <c r="B199" s="20" t="s">
        <v>7</v>
      </c>
      <c r="C199" s="21" t="s">
        <v>8</v>
      </c>
      <c r="D199" s="22"/>
      <c r="E199" s="22"/>
      <c r="F199" s="22"/>
      <c r="G199" s="22"/>
      <c r="H199" s="23"/>
      <c r="I199" s="10"/>
    </row>
    <row r="200" spans="2:9" x14ac:dyDescent="0.2">
      <c r="B200" s="20" t="s">
        <v>9</v>
      </c>
      <c r="C200" s="21" t="s">
        <v>10</v>
      </c>
      <c r="D200" s="22"/>
      <c r="E200" s="22"/>
      <c r="F200" s="22"/>
      <c r="G200" s="22"/>
      <c r="H200" s="23"/>
      <c r="I200" s="10"/>
    </row>
    <row r="201" spans="2:9" x14ac:dyDescent="0.2">
      <c r="B201" s="20" t="s">
        <v>11</v>
      </c>
      <c r="C201" s="24" t="str">
        <f>VLOOKUP(K192,'[1]FORM XIII'!C$14:P418,3,0)</f>
        <v>MONU KUMAR</v>
      </c>
      <c r="D201" s="25"/>
      <c r="E201" s="25"/>
      <c r="F201" s="25"/>
      <c r="G201" s="25"/>
      <c r="H201" s="26"/>
      <c r="I201" s="10"/>
    </row>
    <row r="202" spans="2:9" x14ac:dyDescent="0.2">
      <c r="B202" s="20" t="s">
        <v>12</v>
      </c>
      <c r="C202" s="24">
        <f>VLOOKUP(K192,'[1]FORM XIII'!C$14:P418,2,0)</f>
        <v>72232159</v>
      </c>
      <c r="D202" s="25"/>
      <c r="E202" s="25"/>
      <c r="F202" s="25"/>
      <c r="G202" s="25"/>
      <c r="H202" s="26"/>
      <c r="I202" s="10"/>
    </row>
    <row r="203" spans="2:9" x14ac:dyDescent="0.2">
      <c r="B203" s="20" t="s">
        <v>13</v>
      </c>
      <c r="C203" s="24" t="str">
        <f>VLOOKUP(K192,'[1]FORM XIII'!C$14:P418,8,0)</f>
        <v>HELPER</v>
      </c>
      <c r="D203" s="25"/>
      <c r="E203" s="25"/>
      <c r="F203" s="25"/>
      <c r="G203" s="25"/>
      <c r="H203" s="26"/>
      <c r="I203" s="10"/>
    </row>
    <row r="204" spans="2:9" ht="20.399999999999999" x14ac:dyDescent="0.2">
      <c r="B204" s="20" t="s">
        <v>14</v>
      </c>
      <c r="C204" s="44" t="s">
        <v>15</v>
      </c>
      <c r="D204" s="45"/>
      <c r="E204" s="45"/>
      <c r="F204" s="45"/>
      <c r="G204" s="45"/>
      <c r="H204" s="46"/>
      <c r="I204" s="10"/>
    </row>
    <row r="205" spans="2:9" x14ac:dyDescent="0.2">
      <c r="B205" s="20" t="s">
        <v>16</v>
      </c>
      <c r="C205" s="44" t="s">
        <v>17</v>
      </c>
      <c r="D205" s="45"/>
      <c r="E205" s="45"/>
      <c r="F205" s="45"/>
      <c r="G205" s="45"/>
      <c r="H205" s="46"/>
      <c r="I205" s="10"/>
    </row>
    <row r="206" spans="2:9" x14ac:dyDescent="0.2">
      <c r="B206" s="20" t="s">
        <v>18</v>
      </c>
      <c r="C206" s="47" t="s">
        <v>19</v>
      </c>
      <c r="D206" s="22"/>
      <c r="E206" s="22"/>
      <c r="F206" s="22"/>
      <c r="G206" s="22"/>
      <c r="H206" s="23"/>
      <c r="I206" s="10"/>
    </row>
    <row r="207" spans="2:9" x14ac:dyDescent="0.2">
      <c r="B207" s="30" t="s">
        <v>20</v>
      </c>
      <c r="C207" s="31"/>
      <c r="D207" s="32"/>
      <c r="E207" s="32"/>
      <c r="F207" s="32"/>
      <c r="G207" s="32"/>
      <c r="H207" s="33"/>
      <c r="I207" s="10"/>
    </row>
    <row r="208" spans="2:9" x14ac:dyDescent="0.2">
      <c r="B208" s="34" t="s">
        <v>21</v>
      </c>
      <c r="C208" s="35"/>
      <c r="D208" s="35"/>
      <c r="E208" s="35"/>
      <c r="F208" s="35"/>
      <c r="G208" s="35"/>
      <c r="H208" s="36"/>
      <c r="I208" s="10"/>
    </row>
    <row r="209" spans="2:11" x14ac:dyDescent="0.2">
      <c r="B209" s="37" t="s">
        <v>22</v>
      </c>
      <c r="C209" s="38" t="s">
        <v>23</v>
      </c>
      <c r="D209" s="38"/>
      <c r="E209" s="38"/>
      <c r="F209" s="38"/>
      <c r="G209" s="38"/>
      <c r="H209" s="39"/>
      <c r="I209" s="10"/>
    </row>
    <row r="210" spans="2:11" ht="10.8" thickBot="1" x14ac:dyDescent="0.25">
      <c r="B210" s="40"/>
      <c r="C210" s="41"/>
      <c r="D210" s="41"/>
      <c r="E210" s="41"/>
      <c r="F210" s="41"/>
      <c r="G210" s="41"/>
      <c r="H210" s="41"/>
      <c r="I210" s="42"/>
    </row>
    <row r="211" spans="2:11" ht="10.8" thickTop="1" x14ac:dyDescent="0.2"/>
    <row r="212" spans="2:11" ht="10.8" thickBot="1" x14ac:dyDescent="0.25"/>
    <row r="213" spans="2:11" ht="10.8" thickTop="1" x14ac:dyDescent="0.2">
      <c r="B213" s="4"/>
      <c r="C213" s="4"/>
      <c r="D213" s="4"/>
      <c r="E213" s="4"/>
      <c r="F213" s="4"/>
      <c r="G213" s="4"/>
      <c r="H213" s="4"/>
      <c r="I213" s="5"/>
      <c r="J213" s="6"/>
      <c r="K213" s="2">
        <f>+K192+1</f>
        <v>11</v>
      </c>
    </row>
    <row r="214" spans="2:11" x14ac:dyDescent="0.2">
      <c r="B214" s="7" t="s">
        <v>0</v>
      </c>
      <c r="C214" s="8"/>
      <c r="D214" s="8"/>
      <c r="E214" s="8"/>
      <c r="F214" s="8"/>
      <c r="G214" s="8"/>
      <c r="H214" s="9"/>
      <c r="I214" s="10"/>
      <c r="J214" s="6"/>
    </row>
    <row r="215" spans="2:11" x14ac:dyDescent="0.2">
      <c r="B215" s="11" t="s">
        <v>1</v>
      </c>
      <c r="C215" s="12"/>
      <c r="D215" s="12"/>
      <c r="E215" s="12"/>
      <c r="F215" s="12"/>
      <c r="G215" s="12"/>
      <c r="H215" s="13"/>
      <c r="I215" s="10"/>
      <c r="J215" s="6"/>
    </row>
    <row r="216" spans="2:11" x14ac:dyDescent="0.2">
      <c r="B216" s="11" t="s">
        <v>2</v>
      </c>
      <c r="C216" s="12"/>
      <c r="D216" s="12"/>
      <c r="E216" s="12"/>
      <c r="F216" s="12"/>
      <c r="G216" s="12"/>
      <c r="H216" s="13"/>
      <c r="I216" s="10"/>
      <c r="J216" s="6"/>
    </row>
    <row r="217" spans="2:11" x14ac:dyDescent="0.2">
      <c r="B217" s="14"/>
      <c r="H217" s="15"/>
      <c r="I217" s="10"/>
      <c r="J217" s="6"/>
    </row>
    <row r="218" spans="2:11" x14ac:dyDescent="0.2">
      <c r="B218" s="16" t="s">
        <v>3</v>
      </c>
      <c r="C218" s="17" t="s">
        <v>4</v>
      </c>
      <c r="D218" s="18"/>
      <c r="E218" s="18"/>
      <c r="F218" s="18"/>
      <c r="G218" s="18"/>
      <c r="H218" s="19"/>
      <c r="I218" s="10"/>
      <c r="J218" s="6"/>
    </row>
    <row r="219" spans="2:11" ht="20.399999999999999" x14ac:dyDescent="0.2">
      <c r="B219" s="20" t="s">
        <v>5</v>
      </c>
      <c r="C219" s="21" t="s">
        <v>6</v>
      </c>
      <c r="D219" s="22"/>
      <c r="E219" s="22"/>
      <c r="F219" s="22"/>
      <c r="G219" s="22"/>
      <c r="H219" s="23"/>
      <c r="I219" s="10"/>
      <c r="J219" s="6"/>
    </row>
    <row r="220" spans="2:11" x14ac:dyDescent="0.2">
      <c r="B220" s="20" t="s">
        <v>7</v>
      </c>
      <c r="C220" s="21" t="s">
        <v>8</v>
      </c>
      <c r="D220" s="22"/>
      <c r="E220" s="22"/>
      <c r="F220" s="22"/>
      <c r="G220" s="22"/>
      <c r="H220" s="23"/>
      <c r="I220" s="10"/>
      <c r="J220" s="6"/>
    </row>
    <row r="221" spans="2:11" x14ac:dyDescent="0.2">
      <c r="B221" s="20" t="s">
        <v>9</v>
      </c>
      <c r="C221" s="21" t="s">
        <v>10</v>
      </c>
      <c r="D221" s="22"/>
      <c r="E221" s="22"/>
      <c r="F221" s="22"/>
      <c r="G221" s="22"/>
      <c r="H221" s="23"/>
      <c r="I221" s="10"/>
      <c r="J221" s="6"/>
    </row>
    <row r="222" spans="2:11" x14ac:dyDescent="0.2">
      <c r="B222" s="20" t="s">
        <v>11</v>
      </c>
      <c r="C222" s="24" t="str">
        <f>VLOOKUP(K213,'[1]FORM XIII'!C$14:P439,3,0)</f>
        <v>NITESH KUMAR</v>
      </c>
      <c r="D222" s="25"/>
      <c r="E222" s="25"/>
      <c r="F222" s="25"/>
      <c r="G222" s="25"/>
      <c r="H222" s="26"/>
      <c r="I222" s="10"/>
      <c r="J222" s="6"/>
    </row>
    <row r="223" spans="2:11" x14ac:dyDescent="0.2">
      <c r="B223" s="20" t="s">
        <v>12</v>
      </c>
      <c r="C223" s="24">
        <f>VLOOKUP(K213,'[1]FORM XIII'!C$14:P439,2,0)</f>
        <v>72232160</v>
      </c>
      <c r="D223" s="25"/>
      <c r="E223" s="25"/>
      <c r="F223" s="25"/>
      <c r="G223" s="25"/>
      <c r="H223" s="26"/>
      <c r="I223" s="10"/>
      <c r="J223" s="6"/>
    </row>
    <row r="224" spans="2:11" x14ac:dyDescent="0.2">
      <c r="B224" s="20" t="s">
        <v>13</v>
      </c>
      <c r="C224" s="24" t="str">
        <f>VLOOKUP(K213,'[1]FORM XIII'!C$14:P439,8,0)</f>
        <v/>
      </c>
      <c r="D224" s="25"/>
      <c r="E224" s="25"/>
      <c r="F224" s="25"/>
      <c r="G224" s="25"/>
      <c r="H224" s="26"/>
      <c r="I224" s="10"/>
      <c r="J224" s="6"/>
    </row>
    <row r="225" spans="2:11" ht="20.399999999999999" x14ac:dyDescent="0.2">
      <c r="B225" s="20" t="s">
        <v>14</v>
      </c>
      <c r="C225" s="44" t="s">
        <v>15</v>
      </c>
      <c r="D225" s="45"/>
      <c r="E225" s="45"/>
      <c r="F225" s="45"/>
      <c r="G225" s="45"/>
      <c r="H225" s="46"/>
      <c r="I225" s="10"/>
      <c r="J225" s="6"/>
    </row>
    <row r="226" spans="2:11" x14ac:dyDescent="0.2">
      <c r="B226" s="20" t="s">
        <v>16</v>
      </c>
      <c r="C226" s="44" t="s">
        <v>17</v>
      </c>
      <c r="D226" s="45"/>
      <c r="E226" s="45"/>
      <c r="F226" s="45"/>
      <c r="G226" s="45"/>
      <c r="H226" s="46"/>
      <c r="I226" s="10"/>
      <c r="J226" s="6"/>
    </row>
    <row r="227" spans="2:11" x14ac:dyDescent="0.2">
      <c r="B227" s="20" t="s">
        <v>18</v>
      </c>
      <c r="C227" s="47" t="s">
        <v>19</v>
      </c>
      <c r="D227" s="22"/>
      <c r="E227" s="22"/>
      <c r="F227" s="22"/>
      <c r="G227" s="22"/>
      <c r="H227" s="23"/>
      <c r="I227" s="10"/>
      <c r="J227" s="6"/>
    </row>
    <row r="228" spans="2:11" x14ac:dyDescent="0.2">
      <c r="B228" s="30" t="s">
        <v>20</v>
      </c>
      <c r="C228" s="31"/>
      <c r="D228" s="32"/>
      <c r="E228" s="32"/>
      <c r="F228" s="32"/>
      <c r="G228" s="32"/>
      <c r="H228" s="33"/>
      <c r="I228" s="10"/>
      <c r="J228" s="6"/>
    </row>
    <row r="229" spans="2:11" x14ac:dyDescent="0.2">
      <c r="B229" s="34" t="s">
        <v>21</v>
      </c>
      <c r="C229" s="35"/>
      <c r="D229" s="35"/>
      <c r="E229" s="35"/>
      <c r="F229" s="35"/>
      <c r="G229" s="35"/>
      <c r="H229" s="36"/>
      <c r="I229" s="10"/>
      <c r="J229" s="6"/>
    </row>
    <row r="230" spans="2:11" x14ac:dyDescent="0.2">
      <c r="B230" s="37" t="s">
        <v>22</v>
      </c>
      <c r="C230" s="38" t="s">
        <v>23</v>
      </c>
      <c r="D230" s="38"/>
      <c r="E230" s="38"/>
      <c r="F230" s="38"/>
      <c r="G230" s="38"/>
      <c r="H230" s="39"/>
      <c r="I230" s="10"/>
      <c r="J230" s="6"/>
    </row>
    <row r="231" spans="2:11" ht="10.8" thickBot="1" x14ac:dyDescent="0.25">
      <c r="B231" s="40"/>
      <c r="C231" s="41"/>
      <c r="D231" s="41"/>
      <c r="E231" s="41"/>
      <c r="F231" s="41"/>
      <c r="G231" s="41"/>
      <c r="H231" s="41"/>
      <c r="I231" s="42"/>
      <c r="J231" s="6"/>
    </row>
    <row r="232" spans="2:11" ht="10.8" thickTop="1" x14ac:dyDescent="0.2">
      <c r="J232" s="6"/>
    </row>
    <row r="233" spans="2:11" ht="10.8" thickBot="1" x14ac:dyDescent="0.25"/>
    <row r="234" spans="2:11" ht="10.8" thickTop="1" x14ac:dyDescent="0.2">
      <c r="B234" s="4"/>
      <c r="C234" s="4"/>
      <c r="D234" s="4"/>
      <c r="E234" s="4"/>
      <c r="F234" s="4"/>
      <c r="G234" s="4"/>
      <c r="H234" s="4"/>
      <c r="I234" s="5"/>
      <c r="K234" s="2">
        <f>+K213+1</f>
        <v>12</v>
      </c>
    </row>
    <row r="235" spans="2:11" x14ac:dyDescent="0.2">
      <c r="B235" s="7" t="s">
        <v>0</v>
      </c>
      <c r="C235" s="8"/>
      <c r="D235" s="8"/>
      <c r="E235" s="8"/>
      <c r="F235" s="8"/>
      <c r="G235" s="8"/>
      <c r="H235" s="9"/>
      <c r="I235" s="10"/>
    </row>
    <row r="236" spans="2:11" x14ac:dyDescent="0.2">
      <c r="B236" s="11" t="s">
        <v>1</v>
      </c>
      <c r="C236" s="12"/>
      <c r="D236" s="12"/>
      <c r="E236" s="12"/>
      <c r="F236" s="12"/>
      <c r="G236" s="12"/>
      <c r="H236" s="13"/>
      <c r="I236" s="10"/>
    </row>
    <row r="237" spans="2:11" x14ac:dyDescent="0.2">
      <c r="B237" s="11" t="s">
        <v>2</v>
      </c>
      <c r="C237" s="12"/>
      <c r="D237" s="12"/>
      <c r="E237" s="12"/>
      <c r="F237" s="12"/>
      <c r="G237" s="12"/>
      <c r="H237" s="13"/>
      <c r="I237" s="10"/>
    </row>
    <row r="238" spans="2:11" x14ac:dyDescent="0.2">
      <c r="B238" s="14"/>
      <c r="H238" s="15"/>
      <c r="I238" s="10"/>
    </row>
    <row r="239" spans="2:11" x14ac:dyDescent="0.2">
      <c r="B239" s="16" t="s">
        <v>3</v>
      </c>
      <c r="C239" s="17" t="s">
        <v>4</v>
      </c>
      <c r="D239" s="18"/>
      <c r="E239" s="18"/>
      <c r="F239" s="18"/>
      <c r="G239" s="18"/>
      <c r="H239" s="19"/>
      <c r="I239" s="10"/>
    </row>
    <row r="240" spans="2:11" ht="20.399999999999999" x14ac:dyDescent="0.2">
      <c r="B240" s="20" t="s">
        <v>5</v>
      </c>
      <c r="C240" s="21" t="s">
        <v>6</v>
      </c>
      <c r="D240" s="22"/>
      <c r="E240" s="22"/>
      <c r="F240" s="22"/>
      <c r="G240" s="22"/>
      <c r="H240" s="23"/>
      <c r="I240" s="10"/>
    </row>
    <row r="241" spans="2:11" x14ac:dyDescent="0.2">
      <c r="B241" s="20" t="s">
        <v>7</v>
      </c>
      <c r="C241" s="21" t="s">
        <v>8</v>
      </c>
      <c r="D241" s="22"/>
      <c r="E241" s="22"/>
      <c r="F241" s="22"/>
      <c r="G241" s="22"/>
      <c r="H241" s="23"/>
      <c r="I241" s="10"/>
    </row>
    <row r="242" spans="2:11" x14ac:dyDescent="0.2">
      <c r="B242" s="20" t="s">
        <v>9</v>
      </c>
      <c r="C242" s="21" t="s">
        <v>10</v>
      </c>
      <c r="D242" s="22"/>
      <c r="E242" s="22"/>
      <c r="F242" s="22"/>
      <c r="G242" s="22"/>
      <c r="H242" s="23"/>
      <c r="I242" s="10"/>
    </row>
    <row r="243" spans="2:11" x14ac:dyDescent="0.2">
      <c r="B243" s="20" t="s">
        <v>11</v>
      </c>
      <c r="C243" s="24" t="str">
        <f>VLOOKUP(K234,'[1]FORM XIII'!C$14:P460,3,0)</f>
        <v>KAUSHINDRA</v>
      </c>
      <c r="D243" s="25"/>
      <c r="E243" s="25"/>
      <c r="F243" s="25"/>
      <c r="G243" s="25"/>
      <c r="H243" s="26"/>
      <c r="I243" s="10"/>
    </row>
    <row r="244" spans="2:11" x14ac:dyDescent="0.2">
      <c r="B244" s="20" t="s">
        <v>12</v>
      </c>
      <c r="C244" s="24">
        <f>VLOOKUP(K234,'[1]FORM XIII'!C$14:P460,2,0)</f>
        <v>72232163</v>
      </c>
      <c r="D244" s="25"/>
      <c r="E244" s="25"/>
      <c r="F244" s="25"/>
      <c r="G244" s="25"/>
      <c r="H244" s="26"/>
      <c r="I244" s="10"/>
    </row>
    <row r="245" spans="2:11" x14ac:dyDescent="0.2">
      <c r="B245" s="20" t="s">
        <v>13</v>
      </c>
      <c r="C245" s="24" t="str">
        <f>VLOOKUP(K234,'[1]FORM XIII'!C$14:P460,8,0)</f>
        <v/>
      </c>
      <c r="D245" s="25"/>
      <c r="E245" s="25"/>
      <c r="F245" s="25"/>
      <c r="G245" s="25"/>
      <c r="H245" s="26"/>
      <c r="I245" s="10"/>
    </row>
    <row r="246" spans="2:11" ht="20.399999999999999" x14ac:dyDescent="0.2">
      <c r="B246" s="20" t="s">
        <v>14</v>
      </c>
      <c r="C246" s="44" t="s">
        <v>15</v>
      </c>
      <c r="D246" s="45"/>
      <c r="E246" s="45"/>
      <c r="F246" s="45"/>
      <c r="G246" s="45"/>
      <c r="H246" s="46"/>
      <c r="I246" s="10"/>
    </row>
    <row r="247" spans="2:11" x14ac:dyDescent="0.2">
      <c r="B247" s="20" t="s">
        <v>16</v>
      </c>
      <c r="C247" s="44" t="s">
        <v>17</v>
      </c>
      <c r="D247" s="45"/>
      <c r="E247" s="45"/>
      <c r="F247" s="45"/>
      <c r="G247" s="45"/>
      <c r="H247" s="46"/>
      <c r="I247" s="10"/>
    </row>
    <row r="248" spans="2:11" x14ac:dyDescent="0.2">
      <c r="B248" s="20" t="s">
        <v>18</v>
      </c>
      <c r="C248" s="47" t="s">
        <v>19</v>
      </c>
      <c r="D248" s="22"/>
      <c r="E248" s="22"/>
      <c r="F248" s="22"/>
      <c r="G248" s="22"/>
      <c r="H248" s="23"/>
      <c r="I248" s="10"/>
    </row>
    <row r="249" spans="2:11" x14ac:dyDescent="0.2">
      <c r="B249" s="30" t="s">
        <v>20</v>
      </c>
      <c r="C249" s="31"/>
      <c r="D249" s="32"/>
      <c r="E249" s="32"/>
      <c r="F249" s="32"/>
      <c r="G249" s="32"/>
      <c r="H249" s="33"/>
      <c r="I249" s="10"/>
    </row>
    <row r="250" spans="2:11" x14ac:dyDescent="0.2">
      <c r="B250" s="34" t="s">
        <v>21</v>
      </c>
      <c r="C250" s="35"/>
      <c r="D250" s="35"/>
      <c r="E250" s="35"/>
      <c r="F250" s="35"/>
      <c r="G250" s="35"/>
      <c r="H250" s="36"/>
      <c r="I250" s="10"/>
    </row>
    <row r="251" spans="2:11" x14ac:dyDescent="0.2">
      <c r="B251" s="37" t="s">
        <v>22</v>
      </c>
      <c r="C251" s="38" t="s">
        <v>23</v>
      </c>
      <c r="D251" s="38"/>
      <c r="E251" s="38"/>
      <c r="F251" s="38"/>
      <c r="G251" s="38"/>
      <c r="H251" s="39"/>
      <c r="I251" s="10"/>
    </row>
    <row r="252" spans="2:11" ht="10.8" thickBot="1" x14ac:dyDescent="0.25">
      <c r="B252" s="40"/>
      <c r="C252" s="41"/>
      <c r="D252" s="41"/>
      <c r="E252" s="41"/>
      <c r="F252" s="41"/>
      <c r="G252" s="41"/>
      <c r="H252" s="41"/>
      <c r="I252" s="42"/>
    </row>
    <row r="253" spans="2:11" ht="10.8" thickTop="1" x14ac:dyDescent="0.2"/>
    <row r="254" spans="2:11" ht="10.8" thickBot="1" x14ac:dyDescent="0.25"/>
    <row r="255" spans="2:11" ht="10.8" thickTop="1" x14ac:dyDescent="0.2">
      <c r="B255" s="4"/>
      <c r="C255" s="4"/>
      <c r="D255" s="4"/>
      <c r="E255" s="4"/>
      <c r="F255" s="4"/>
      <c r="G255" s="4"/>
      <c r="H255" s="4"/>
      <c r="I255" s="5"/>
      <c r="K255" s="2">
        <f>+K234+1</f>
        <v>13</v>
      </c>
    </row>
    <row r="256" spans="2:11" x14ac:dyDescent="0.2">
      <c r="B256" s="7" t="s">
        <v>0</v>
      </c>
      <c r="C256" s="8"/>
      <c r="D256" s="8"/>
      <c r="E256" s="8"/>
      <c r="F256" s="8"/>
      <c r="G256" s="8"/>
      <c r="H256" s="9"/>
      <c r="I256" s="10"/>
    </row>
    <row r="257" spans="2:9" x14ac:dyDescent="0.2">
      <c r="B257" s="11" t="s">
        <v>1</v>
      </c>
      <c r="C257" s="12"/>
      <c r="D257" s="12"/>
      <c r="E257" s="12"/>
      <c r="F257" s="12"/>
      <c r="G257" s="12"/>
      <c r="H257" s="13"/>
      <c r="I257" s="10"/>
    </row>
    <row r="258" spans="2:9" x14ac:dyDescent="0.2">
      <c r="B258" s="11" t="s">
        <v>2</v>
      </c>
      <c r="C258" s="12"/>
      <c r="D258" s="12"/>
      <c r="E258" s="12"/>
      <c r="F258" s="12"/>
      <c r="G258" s="12"/>
      <c r="H258" s="13"/>
      <c r="I258" s="10"/>
    </row>
    <row r="259" spans="2:9" x14ac:dyDescent="0.2">
      <c r="B259" s="14"/>
      <c r="H259" s="15"/>
      <c r="I259" s="10"/>
    </row>
    <row r="260" spans="2:9" x14ac:dyDescent="0.2">
      <c r="B260" s="16" t="s">
        <v>3</v>
      </c>
      <c r="C260" s="17" t="s">
        <v>4</v>
      </c>
      <c r="D260" s="18"/>
      <c r="E260" s="18"/>
      <c r="F260" s="18"/>
      <c r="G260" s="18"/>
      <c r="H260" s="19"/>
      <c r="I260" s="10"/>
    </row>
    <row r="261" spans="2:9" ht="20.399999999999999" x14ac:dyDescent="0.2">
      <c r="B261" s="20" t="s">
        <v>5</v>
      </c>
      <c r="C261" s="21" t="s">
        <v>6</v>
      </c>
      <c r="D261" s="22"/>
      <c r="E261" s="22"/>
      <c r="F261" s="22"/>
      <c r="G261" s="22"/>
      <c r="H261" s="23"/>
      <c r="I261" s="10"/>
    </row>
    <row r="262" spans="2:9" x14ac:dyDescent="0.2">
      <c r="B262" s="20" t="s">
        <v>7</v>
      </c>
      <c r="C262" s="21" t="s">
        <v>8</v>
      </c>
      <c r="D262" s="22"/>
      <c r="E262" s="22"/>
      <c r="F262" s="22"/>
      <c r="G262" s="22"/>
      <c r="H262" s="23"/>
      <c r="I262" s="10"/>
    </row>
    <row r="263" spans="2:9" x14ac:dyDescent="0.2">
      <c r="B263" s="20" t="s">
        <v>9</v>
      </c>
      <c r="C263" s="21" t="s">
        <v>10</v>
      </c>
      <c r="D263" s="22"/>
      <c r="E263" s="22"/>
      <c r="F263" s="22"/>
      <c r="G263" s="22"/>
      <c r="H263" s="23"/>
      <c r="I263" s="10"/>
    </row>
    <row r="264" spans="2:9" x14ac:dyDescent="0.2">
      <c r="B264" s="20" t="s">
        <v>11</v>
      </c>
      <c r="C264" s="24" t="str">
        <f>VLOOKUP(K255,'[1]FORM XIII'!C$14:P481,3,0)</f>
        <v>SANDEEP</v>
      </c>
      <c r="D264" s="25"/>
      <c r="E264" s="25"/>
      <c r="F264" s="25"/>
      <c r="G264" s="25"/>
      <c r="H264" s="26"/>
      <c r="I264" s="10"/>
    </row>
    <row r="265" spans="2:9" x14ac:dyDescent="0.2">
      <c r="B265" s="20" t="s">
        <v>12</v>
      </c>
      <c r="C265" s="24">
        <f>VLOOKUP(K255,'[1]FORM XIII'!C$14:P481,2,0)</f>
        <v>72232164</v>
      </c>
      <c r="D265" s="25"/>
      <c r="E265" s="25"/>
      <c r="F265" s="25"/>
      <c r="G265" s="25"/>
      <c r="H265" s="26"/>
      <c r="I265" s="10"/>
    </row>
    <row r="266" spans="2:9" x14ac:dyDescent="0.2">
      <c r="B266" s="20" t="s">
        <v>13</v>
      </c>
      <c r="C266" s="24" t="str">
        <f>VLOOKUP(K255,'[1]FORM XIII'!C$14:P481,8,0)</f>
        <v/>
      </c>
      <c r="D266" s="25"/>
      <c r="E266" s="25"/>
      <c r="F266" s="25"/>
      <c r="G266" s="25"/>
      <c r="H266" s="26"/>
      <c r="I266" s="10"/>
    </row>
    <row r="267" spans="2:9" ht="20.399999999999999" x14ac:dyDescent="0.2">
      <c r="B267" s="20" t="s">
        <v>14</v>
      </c>
      <c r="C267" s="44" t="s">
        <v>15</v>
      </c>
      <c r="D267" s="45"/>
      <c r="E267" s="45"/>
      <c r="F267" s="45"/>
      <c r="G267" s="45"/>
      <c r="H267" s="46"/>
      <c r="I267" s="10"/>
    </row>
    <row r="268" spans="2:9" x14ac:dyDescent="0.2">
      <c r="B268" s="20" t="s">
        <v>16</v>
      </c>
      <c r="C268" s="44" t="s">
        <v>17</v>
      </c>
      <c r="D268" s="45"/>
      <c r="E268" s="45"/>
      <c r="F268" s="45"/>
      <c r="G268" s="45"/>
      <c r="H268" s="46"/>
      <c r="I268" s="10"/>
    </row>
    <row r="269" spans="2:9" x14ac:dyDescent="0.2">
      <c r="B269" s="20" t="s">
        <v>18</v>
      </c>
      <c r="C269" s="47" t="s">
        <v>19</v>
      </c>
      <c r="D269" s="22"/>
      <c r="E269" s="22"/>
      <c r="F269" s="22"/>
      <c r="G269" s="22"/>
      <c r="H269" s="23"/>
      <c r="I269" s="10"/>
    </row>
    <row r="270" spans="2:9" x14ac:dyDescent="0.2">
      <c r="B270" s="30" t="s">
        <v>20</v>
      </c>
      <c r="C270" s="31"/>
      <c r="D270" s="32"/>
      <c r="E270" s="32"/>
      <c r="F270" s="32"/>
      <c r="G270" s="32"/>
      <c r="H270" s="33"/>
      <c r="I270" s="10"/>
    </row>
    <row r="271" spans="2:9" x14ac:dyDescent="0.2">
      <c r="B271" s="34" t="s">
        <v>21</v>
      </c>
      <c r="C271" s="35"/>
      <c r="D271" s="35"/>
      <c r="E271" s="35"/>
      <c r="F271" s="35"/>
      <c r="G271" s="35"/>
      <c r="H271" s="36"/>
      <c r="I271" s="10"/>
    </row>
    <row r="272" spans="2:9" x14ac:dyDescent="0.2">
      <c r="B272" s="37" t="s">
        <v>22</v>
      </c>
      <c r="C272" s="38" t="s">
        <v>23</v>
      </c>
      <c r="D272" s="38"/>
      <c r="E272" s="38"/>
      <c r="F272" s="38"/>
      <c r="G272" s="38"/>
      <c r="H272" s="39"/>
      <c r="I272" s="10"/>
    </row>
    <row r="273" spans="2:11" ht="10.8" thickBot="1" x14ac:dyDescent="0.25">
      <c r="B273" s="40"/>
      <c r="C273" s="41"/>
      <c r="D273" s="41"/>
      <c r="E273" s="41"/>
      <c r="F273" s="41"/>
      <c r="G273" s="41"/>
      <c r="H273" s="41"/>
      <c r="I273" s="42"/>
    </row>
    <row r="274" spans="2:11" ht="10.8" thickTop="1" x14ac:dyDescent="0.2"/>
    <row r="275" spans="2:11" ht="10.8" thickBot="1" x14ac:dyDescent="0.25"/>
    <row r="276" spans="2:11" ht="10.8" thickTop="1" x14ac:dyDescent="0.2">
      <c r="B276" s="4"/>
      <c r="C276" s="4"/>
      <c r="D276" s="4"/>
      <c r="E276" s="4"/>
      <c r="F276" s="4"/>
      <c r="G276" s="4"/>
      <c r="H276" s="4"/>
      <c r="I276" s="5"/>
      <c r="K276" s="2">
        <f>+K255+1</f>
        <v>14</v>
      </c>
    </row>
    <row r="277" spans="2:11" x14ac:dyDescent="0.2">
      <c r="B277" s="7" t="s">
        <v>0</v>
      </c>
      <c r="C277" s="8"/>
      <c r="D277" s="8"/>
      <c r="E277" s="8"/>
      <c r="F277" s="8"/>
      <c r="G277" s="8"/>
      <c r="H277" s="9"/>
      <c r="I277" s="10"/>
    </row>
    <row r="278" spans="2:11" x14ac:dyDescent="0.2">
      <c r="B278" s="11" t="s">
        <v>1</v>
      </c>
      <c r="C278" s="12"/>
      <c r="D278" s="12"/>
      <c r="E278" s="12"/>
      <c r="F278" s="12"/>
      <c r="G278" s="12"/>
      <c r="H278" s="13"/>
      <c r="I278" s="10"/>
    </row>
    <row r="279" spans="2:11" x14ac:dyDescent="0.2">
      <c r="B279" s="11" t="s">
        <v>2</v>
      </c>
      <c r="C279" s="12"/>
      <c r="D279" s="12"/>
      <c r="E279" s="12"/>
      <c r="F279" s="12"/>
      <c r="G279" s="12"/>
      <c r="H279" s="13"/>
      <c r="I279" s="10"/>
    </row>
    <row r="280" spans="2:11" x14ac:dyDescent="0.2">
      <c r="B280" s="14"/>
      <c r="H280" s="15"/>
      <c r="I280" s="10"/>
    </row>
    <row r="281" spans="2:11" x14ac:dyDescent="0.2">
      <c r="B281" s="16" t="s">
        <v>3</v>
      </c>
      <c r="C281" s="17" t="s">
        <v>4</v>
      </c>
      <c r="D281" s="18"/>
      <c r="E281" s="18"/>
      <c r="F281" s="18"/>
      <c r="G281" s="18"/>
      <c r="H281" s="19"/>
      <c r="I281" s="10"/>
    </row>
    <row r="282" spans="2:11" ht="20.399999999999999" x14ac:dyDescent="0.2">
      <c r="B282" s="20" t="s">
        <v>5</v>
      </c>
      <c r="C282" s="21" t="s">
        <v>6</v>
      </c>
      <c r="D282" s="22"/>
      <c r="E282" s="22"/>
      <c r="F282" s="22"/>
      <c r="G282" s="22"/>
      <c r="H282" s="23"/>
      <c r="I282" s="10"/>
    </row>
    <row r="283" spans="2:11" x14ac:dyDescent="0.2">
      <c r="B283" s="20" t="s">
        <v>7</v>
      </c>
      <c r="C283" s="21" t="s">
        <v>8</v>
      </c>
      <c r="D283" s="22"/>
      <c r="E283" s="22"/>
      <c r="F283" s="22"/>
      <c r="G283" s="22"/>
      <c r="H283" s="23"/>
      <c r="I283" s="10"/>
    </row>
    <row r="284" spans="2:11" x14ac:dyDescent="0.2">
      <c r="B284" s="20" t="s">
        <v>9</v>
      </c>
      <c r="C284" s="21" t="s">
        <v>10</v>
      </c>
      <c r="D284" s="22"/>
      <c r="E284" s="22"/>
      <c r="F284" s="22"/>
      <c r="G284" s="22"/>
      <c r="H284" s="23"/>
      <c r="I284" s="10"/>
    </row>
    <row r="285" spans="2:11" x14ac:dyDescent="0.2">
      <c r="B285" s="20" t="s">
        <v>11</v>
      </c>
      <c r="C285" s="24" t="str">
        <f>VLOOKUP(K276,'[1]FORM XIII'!C$14:P502,3,0)</f>
        <v>RAVI KUMAR</v>
      </c>
      <c r="D285" s="25"/>
      <c r="E285" s="25"/>
      <c r="F285" s="25"/>
      <c r="G285" s="25"/>
      <c r="H285" s="26"/>
      <c r="I285" s="10"/>
    </row>
    <row r="286" spans="2:11" x14ac:dyDescent="0.2">
      <c r="B286" s="20" t="s">
        <v>12</v>
      </c>
      <c r="C286" s="24">
        <f>VLOOKUP(K276,'[1]FORM XIII'!C$14:P502,2,0)</f>
        <v>72232165</v>
      </c>
      <c r="D286" s="25"/>
      <c r="E286" s="25"/>
      <c r="F286" s="25"/>
      <c r="G286" s="25"/>
      <c r="H286" s="26"/>
      <c r="I286" s="10"/>
    </row>
    <row r="287" spans="2:11" x14ac:dyDescent="0.2">
      <c r="B287" s="20" t="s">
        <v>13</v>
      </c>
      <c r="C287" s="24" t="str">
        <f>VLOOKUP(K276,'[1]FORM XIII'!C$14:P502,8,0)</f>
        <v/>
      </c>
      <c r="D287" s="25"/>
      <c r="E287" s="25"/>
      <c r="F287" s="25"/>
      <c r="G287" s="25"/>
      <c r="H287" s="26"/>
      <c r="I287" s="10"/>
    </row>
    <row r="288" spans="2:11" ht="20.399999999999999" x14ac:dyDescent="0.2">
      <c r="B288" s="20" t="s">
        <v>14</v>
      </c>
      <c r="C288" s="44" t="s">
        <v>15</v>
      </c>
      <c r="D288" s="45"/>
      <c r="E288" s="45"/>
      <c r="F288" s="45"/>
      <c r="G288" s="45"/>
      <c r="H288" s="46"/>
      <c r="I288" s="10"/>
    </row>
    <row r="289" spans="2:11" x14ac:dyDescent="0.2">
      <c r="B289" s="20" t="s">
        <v>16</v>
      </c>
      <c r="C289" s="44" t="s">
        <v>17</v>
      </c>
      <c r="D289" s="45"/>
      <c r="E289" s="45"/>
      <c r="F289" s="45"/>
      <c r="G289" s="45"/>
      <c r="H289" s="46"/>
      <c r="I289" s="10"/>
    </row>
    <row r="290" spans="2:11" x14ac:dyDescent="0.2">
      <c r="B290" s="20" t="s">
        <v>18</v>
      </c>
      <c r="C290" s="47" t="s">
        <v>19</v>
      </c>
      <c r="D290" s="22"/>
      <c r="E290" s="22"/>
      <c r="F290" s="22"/>
      <c r="G290" s="22"/>
      <c r="H290" s="23"/>
      <c r="I290" s="10"/>
    </row>
    <row r="291" spans="2:11" x14ac:dyDescent="0.2">
      <c r="B291" s="30" t="s">
        <v>20</v>
      </c>
      <c r="C291" s="31"/>
      <c r="D291" s="32"/>
      <c r="E291" s="32"/>
      <c r="F291" s="32"/>
      <c r="G291" s="32"/>
      <c r="H291" s="33"/>
      <c r="I291" s="10"/>
    </row>
    <row r="292" spans="2:11" x14ac:dyDescent="0.2">
      <c r="B292" s="34" t="s">
        <v>21</v>
      </c>
      <c r="C292" s="35"/>
      <c r="D292" s="35"/>
      <c r="E292" s="35"/>
      <c r="F292" s="35"/>
      <c r="G292" s="35"/>
      <c r="H292" s="36"/>
      <c r="I292" s="10"/>
    </row>
    <row r="293" spans="2:11" x14ac:dyDescent="0.2">
      <c r="B293" s="37" t="s">
        <v>22</v>
      </c>
      <c r="C293" s="38" t="s">
        <v>23</v>
      </c>
      <c r="D293" s="38"/>
      <c r="E293" s="38"/>
      <c r="F293" s="38"/>
      <c r="G293" s="38"/>
      <c r="H293" s="39"/>
      <c r="I293" s="10"/>
    </row>
    <row r="294" spans="2:11" ht="10.8" thickBot="1" x14ac:dyDescent="0.25">
      <c r="B294" s="40"/>
      <c r="C294" s="41"/>
      <c r="D294" s="41"/>
      <c r="E294" s="41"/>
      <c r="F294" s="41"/>
      <c r="G294" s="41"/>
      <c r="H294" s="41"/>
      <c r="I294" s="42"/>
    </row>
    <row r="295" spans="2:11" ht="10.8" thickTop="1" x14ac:dyDescent="0.2"/>
    <row r="296" spans="2:11" ht="10.8" thickBot="1" x14ac:dyDescent="0.25"/>
    <row r="297" spans="2:11" ht="10.8" thickTop="1" x14ac:dyDescent="0.2">
      <c r="B297" s="4"/>
      <c r="C297" s="4"/>
      <c r="D297" s="4"/>
      <c r="E297" s="4"/>
      <c r="F297" s="4"/>
      <c r="G297" s="4"/>
      <c r="H297" s="4"/>
      <c r="I297" s="5"/>
      <c r="K297" s="2">
        <f>+K276+1</f>
        <v>15</v>
      </c>
    </row>
    <row r="298" spans="2:11" x14ac:dyDescent="0.2">
      <c r="B298" s="7" t="s">
        <v>0</v>
      </c>
      <c r="C298" s="8"/>
      <c r="D298" s="8"/>
      <c r="E298" s="8"/>
      <c r="F298" s="8"/>
      <c r="G298" s="8"/>
      <c r="H298" s="9"/>
      <c r="I298" s="10"/>
    </row>
    <row r="299" spans="2:11" x14ac:dyDescent="0.2">
      <c r="B299" s="11" t="s">
        <v>1</v>
      </c>
      <c r="C299" s="12"/>
      <c r="D299" s="12"/>
      <c r="E299" s="12"/>
      <c r="F299" s="12"/>
      <c r="G299" s="12"/>
      <c r="H299" s="13"/>
      <c r="I299" s="10"/>
    </row>
    <row r="300" spans="2:11" x14ac:dyDescent="0.2">
      <c r="B300" s="11" t="s">
        <v>2</v>
      </c>
      <c r="C300" s="12"/>
      <c r="D300" s="12"/>
      <c r="E300" s="12"/>
      <c r="F300" s="12"/>
      <c r="G300" s="12"/>
      <c r="H300" s="13"/>
      <c r="I300" s="10"/>
    </row>
    <row r="301" spans="2:11" x14ac:dyDescent="0.2">
      <c r="B301" s="14"/>
      <c r="H301" s="15"/>
      <c r="I301" s="10"/>
    </row>
    <row r="302" spans="2:11" x14ac:dyDescent="0.2">
      <c r="B302" s="16" t="s">
        <v>3</v>
      </c>
      <c r="C302" s="17" t="s">
        <v>4</v>
      </c>
      <c r="D302" s="18"/>
      <c r="E302" s="18"/>
      <c r="F302" s="18"/>
      <c r="G302" s="18"/>
      <c r="H302" s="19"/>
      <c r="I302" s="10"/>
    </row>
    <row r="303" spans="2:11" ht="20.399999999999999" x14ac:dyDescent="0.2">
      <c r="B303" s="20" t="s">
        <v>5</v>
      </c>
      <c r="C303" s="21" t="s">
        <v>6</v>
      </c>
      <c r="D303" s="22"/>
      <c r="E303" s="22"/>
      <c r="F303" s="22"/>
      <c r="G303" s="22"/>
      <c r="H303" s="23"/>
      <c r="I303" s="10"/>
    </row>
    <row r="304" spans="2:11" x14ac:dyDescent="0.2">
      <c r="B304" s="20" t="s">
        <v>7</v>
      </c>
      <c r="C304" s="21" t="s">
        <v>8</v>
      </c>
      <c r="D304" s="22"/>
      <c r="E304" s="22"/>
      <c r="F304" s="22"/>
      <c r="G304" s="22"/>
      <c r="H304" s="23"/>
      <c r="I304" s="10"/>
    </row>
    <row r="305" spans="2:11" x14ac:dyDescent="0.2">
      <c r="B305" s="20" t="s">
        <v>9</v>
      </c>
      <c r="C305" s="21" t="s">
        <v>10</v>
      </c>
      <c r="D305" s="22"/>
      <c r="E305" s="22"/>
      <c r="F305" s="22"/>
      <c r="G305" s="22"/>
      <c r="H305" s="23"/>
      <c r="I305" s="10"/>
    </row>
    <row r="306" spans="2:11" x14ac:dyDescent="0.2">
      <c r="B306" s="20" t="s">
        <v>11</v>
      </c>
      <c r="C306" s="24" t="str">
        <f>VLOOKUP(K297,'[1]FORM XIII'!C$14:P523,3,0)</f>
        <v>GOVIND</v>
      </c>
      <c r="D306" s="25"/>
      <c r="E306" s="25"/>
      <c r="F306" s="25"/>
      <c r="G306" s="25"/>
      <c r="H306" s="26"/>
      <c r="I306" s="10"/>
    </row>
    <row r="307" spans="2:11" x14ac:dyDescent="0.2">
      <c r="B307" s="20" t="s">
        <v>12</v>
      </c>
      <c r="C307" s="24">
        <f>VLOOKUP(K297,'[1]FORM XIII'!C$14:P523,2,0)</f>
        <v>72232166</v>
      </c>
      <c r="D307" s="25"/>
      <c r="E307" s="25"/>
      <c r="F307" s="25"/>
      <c r="G307" s="25"/>
      <c r="H307" s="26"/>
      <c r="I307" s="10"/>
    </row>
    <row r="308" spans="2:11" x14ac:dyDescent="0.2">
      <c r="B308" s="20" t="s">
        <v>13</v>
      </c>
      <c r="C308" s="24" t="str">
        <f>VLOOKUP(K297,'[1]FORM XIII'!C$14:P523,8,0)</f>
        <v/>
      </c>
      <c r="D308" s="25"/>
      <c r="E308" s="25"/>
      <c r="F308" s="25"/>
      <c r="G308" s="25"/>
      <c r="H308" s="26"/>
      <c r="I308" s="10"/>
    </row>
    <row r="309" spans="2:11" ht="20.399999999999999" x14ac:dyDescent="0.2">
      <c r="B309" s="20" t="s">
        <v>14</v>
      </c>
      <c r="C309" s="44" t="s">
        <v>15</v>
      </c>
      <c r="D309" s="45"/>
      <c r="E309" s="45"/>
      <c r="F309" s="45"/>
      <c r="G309" s="45"/>
      <c r="H309" s="46"/>
      <c r="I309" s="10"/>
    </row>
    <row r="310" spans="2:11" x14ac:dyDescent="0.2">
      <c r="B310" s="20" t="s">
        <v>16</v>
      </c>
      <c r="C310" s="44" t="s">
        <v>17</v>
      </c>
      <c r="D310" s="45"/>
      <c r="E310" s="45"/>
      <c r="F310" s="45"/>
      <c r="G310" s="45"/>
      <c r="H310" s="46"/>
      <c r="I310" s="10"/>
    </row>
    <row r="311" spans="2:11" x14ac:dyDescent="0.2">
      <c r="B311" s="20" t="s">
        <v>18</v>
      </c>
      <c r="C311" s="47" t="s">
        <v>19</v>
      </c>
      <c r="D311" s="22"/>
      <c r="E311" s="22"/>
      <c r="F311" s="22"/>
      <c r="G311" s="22"/>
      <c r="H311" s="23"/>
      <c r="I311" s="10"/>
    </row>
    <row r="312" spans="2:11" x14ac:dyDescent="0.2">
      <c r="B312" s="30" t="s">
        <v>20</v>
      </c>
      <c r="C312" s="31"/>
      <c r="D312" s="32"/>
      <c r="E312" s="32"/>
      <c r="F312" s="32"/>
      <c r="G312" s="32"/>
      <c r="H312" s="33"/>
      <c r="I312" s="10"/>
    </row>
    <row r="313" spans="2:11" x14ac:dyDescent="0.2">
      <c r="B313" s="34" t="s">
        <v>21</v>
      </c>
      <c r="C313" s="35"/>
      <c r="D313" s="35"/>
      <c r="E313" s="35"/>
      <c r="F313" s="35"/>
      <c r="G313" s="35"/>
      <c r="H313" s="36"/>
      <c r="I313" s="10"/>
    </row>
    <row r="314" spans="2:11" x14ac:dyDescent="0.2">
      <c r="B314" s="37" t="s">
        <v>22</v>
      </c>
      <c r="C314" s="38" t="s">
        <v>23</v>
      </c>
      <c r="D314" s="38"/>
      <c r="E314" s="38"/>
      <c r="F314" s="38"/>
      <c r="G314" s="38"/>
      <c r="H314" s="39"/>
      <c r="I314" s="10"/>
    </row>
    <row r="315" spans="2:11" ht="10.8" thickBot="1" x14ac:dyDescent="0.25">
      <c r="B315" s="40"/>
      <c r="C315" s="41"/>
      <c r="D315" s="41"/>
      <c r="E315" s="41"/>
      <c r="F315" s="41"/>
      <c r="G315" s="41"/>
      <c r="H315" s="41"/>
      <c r="I315" s="42"/>
    </row>
    <row r="316" spans="2:11" ht="10.8" thickTop="1" x14ac:dyDescent="0.2"/>
    <row r="317" spans="2:11" ht="10.8" thickBot="1" x14ac:dyDescent="0.25"/>
    <row r="318" spans="2:11" ht="10.8" thickTop="1" x14ac:dyDescent="0.2">
      <c r="B318" s="4"/>
      <c r="C318" s="4"/>
      <c r="D318" s="4"/>
      <c r="E318" s="4"/>
      <c r="F318" s="4"/>
      <c r="G318" s="4"/>
      <c r="H318" s="4"/>
      <c r="I318" s="5"/>
      <c r="K318" s="2">
        <f>+K297+1</f>
        <v>16</v>
      </c>
    </row>
    <row r="319" spans="2:11" x14ac:dyDescent="0.2">
      <c r="B319" s="7" t="s">
        <v>0</v>
      </c>
      <c r="C319" s="8"/>
      <c r="D319" s="8"/>
      <c r="E319" s="8"/>
      <c r="F319" s="8"/>
      <c r="G319" s="8"/>
      <c r="H319" s="9"/>
      <c r="I319" s="10"/>
    </row>
    <row r="320" spans="2:11" x14ac:dyDescent="0.2">
      <c r="B320" s="11" t="s">
        <v>1</v>
      </c>
      <c r="C320" s="12"/>
      <c r="D320" s="12"/>
      <c r="E320" s="12"/>
      <c r="F320" s="12"/>
      <c r="G320" s="12"/>
      <c r="H320" s="13"/>
      <c r="I320" s="10"/>
    </row>
    <row r="321" spans="2:9" x14ac:dyDescent="0.2">
      <c r="B321" s="11" t="s">
        <v>2</v>
      </c>
      <c r="C321" s="12"/>
      <c r="D321" s="12"/>
      <c r="E321" s="12"/>
      <c r="F321" s="12"/>
      <c r="G321" s="12"/>
      <c r="H321" s="13"/>
      <c r="I321" s="10"/>
    </row>
    <row r="322" spans="2:9" x14ac:dyDescent="0.2">
      <c r="B322" s="14"/>
      <c r="H322" s="15"/>
      <c r="I322" s="10"/>
    </row>
    <row r="323" spans="2:9" x14ac:dyDescent="0.2">
      <c r="B323" s="16" t="s">
        <v>3</v>
      </c>
      <c r="C323" s="17" t="s">
        <v>4</v>
      </c>
      <c r="D323" s="18"/>
      <c r="E323" s="18"/>
      <c r="F323" s="18"/>
      <c r="G323" s="18"/>
      <c r="H323" s="19"/>
      <c r="I323" s="10"/>
    </row>
    <row r="324" spans="2:9" ht="20.399999999999999" x14ac:dyDescent="0.2">
      <c r="B324" s="20" t="s">
        <v>5</v>
      </c>
      <c r="C324" s="21" t="s">
        <v>6</v>
      </c>
      <c r="D324" s="22"/>
      <c r="E324" s="22"/>
      <c r="F324" s="22"/>
      <c r="G324" s="22"/>
      <c r="H324" s="23"/>
      <c r="I324" s="10"/>
    </row>
    <row r="325" spans="2:9" x14ac:dyDescent="0.2">
      <c r="B325" s="20" t="s">
        <v>7</v>
      </c>
      <c r="C325" s="21" t="s">
        <v>8</v>
      </c>
      <c r="D325" s="22"/>
      <c r="E325" s="22"/>
      <c r="F325" s="22"/>
      <c r="G325" s="22"/>
      <c r="H325" s="23"/>
      <c r="I325" s="10"/>
    </row>
    <row r="326" spans="2:9" x14ac:dyDescent="0.2">
      <c r="B326" s="20" t="s">
        <v>9</v>
      </c>
      <c r="C326" s="21" t="s">
        <v>10</v>
      </c>
      <c r="D326" s="22"/>
      <c r="E326" s="22"/>
      <c r="F326" s="22"/>
      <c r="G326" s="22"/>
      <c r="H326" s="23"/>
      <c r="I326" s="10"/>
    </row>
    <row r="327" spans="2:9" x14ac:dyDescent="0.2">
      <c r="B327" s="20" t="s">
        <v>11</v>
      </c>
      <c r="C327" s="24" t="str">
        <f>VLOOKUP(K318,'[1]FORM XIII'!C$14:P544,3,0)</f>
        <v>NEERAJ KUMAR</v>
      </c>
      <c r="D327" s="25"/>
      <c r="E327" s="25"/>
      <c r="F327" s="25"/>
      <c r="G327" s="25"/>
      <c r="H327" s="26"/>
      <c r="I327" s="10"/>
    </row>
    <row r="328" spans="2:9" x14ac:dyDescent="0.2">
      <c r="B328" s="20" t="s">
        <v>12</v>
      </c>
      <c r="C328" s="24">
        <f>VLOOKUP(K318,'[1]FORM XIII'!C$14:P544,2,0)</f>
        <v>72232167</v>
      </c>
      <c r="D328" s="25"/>
      <c r="E328" s="25"/>
      <c r="F328" s="25"/>
      <c r="G328" s="25"/>
      <c r="H328" s="26"/>
      <c r="I328" s="10"/>
    </row>
    <row r="329" spans="2:9" x14ac:dyDescent="0.2">
      <c r="B329" s="20" t="s">
        <v>13</v>
      </c>
      <c r="C329" s="24" t="str">
        <f>VLOOKUP(K318,'[1]FORM XIII'!C$14:P544,8,0)</f>
        <v/>
      </c>
      <c r="D329" s="25"/>
      <c r="E329" s="25"/>
      <c r="F329" s="25"/>
      <c r="G329" s="25"/>
      <c r="H329" s="26"/>
      <c r="I329" s="10"/>
    </row>
    <row r="330" spans="2:9" ht="20.399999999999999" x14ac:dyDescent="0.2">
      <c r="B330" s="20" t="s">
        <v>14</v>
      </c>
      <c r="C330" s="44" t="s">
        <v>15</v>
      </c>
      <c r="D330" s="45"/>
      <c r="E330" s="45"/>
      <c r="F330" s="45"/>
      <c r="G330" s="45"/>
      <c r="H330" s="46"/>
      <c r="I330" s="10"/>
    </row>
    <row r="331" spans="2:9" x14ac:dyDescent="0.2">
      <c r="B331" s="20" t="s">
        <v>16</v>
      </c>
      <c r="C331" s="44" t="s">
        <v>17</v>
      </c>
      <c r="D331" s="45"/>
      <c r="E331" s="45"/>
      <c r="F331" s="45"/>
      <c r="G331" s="45"/>
      <c r="H331" s="46"/>
      <c r="I331" s="10"/>
    </row>
    <row r="332" spans="2:9" x14ac:dyDescent="0.2">
      <c r="B332" s="20" t="s">
        <v>18</v>
      </c>
      <c r="C332" s="47" t="s">
        <v>19</v>
      </c>
      <c r="D332" s="22"/>
      <c r="E332" s="22"/>
      <c r="F332" s="22"/>
      <c r="G332" s="22"/>
      <c r="H332" s="23"/>
      <c r="I332" s="10"/>
    </row>
    <row r="333" spans="2:9" x14ac:dyDescent="0.2">
      <c r="B333" s="30" t="s">
        <v>20</v>
      </c>
      <c r="C333" s="31"/>
      <c r="D333" s="32"/>
      <c r="E333" s="32"/>
      <c r="F333" s="32"/>
      <c r="G333" s="32"/>
      <c r="H333" s="33"/>
      <c r="I333" s="10"/>
    </row>
    <row r="334" spans="2:9" x14ac:dyDescent="0.2">
      <c r="B334" s="34" t="s">
        <v>21</v>
      </c>
      <c r="C334" s="35"/>
      <c r="D334" s="35"/>
      <c r="E334" s="35"/>
      <c r="F334" s="35"/>
      <c r="G334" s="35"/>
      <c r="H334" s="36"/>
      <c r="I334" s="10"/>
    </row>
    <row r="335" spans="2:9" x14ac:dyDescent="0.2">
      <c r="B335" s="37" t="s">
        <v>22</v>
      </c>
      <c r="C335" s="38" t="s">
        <v>23</v>
      </c>
      <c r="D335" s="38"/>
      <c r="E335" s="38"/>
      <c r="F335" s="38"/>
      <c r="G335" s="38"/>
      <c r="H335" s="39"/>
      <c r="I335" s="10"/>
    </row>
    <row r="336" spans="2:9" ht="10.8" thickBot="1" x14ac:dyDescent="0.25">
      <c r="B336" s="40"/>
      <c r="C336" s="41"/>
      <c r="D336" s="41"/>
      <c r="E336" s="41"/>
      <c r="F336" s="41"/>
      <c r="G336" s="41"/>
      <c r="H336" s="41"/>
      <c r="I336" s="42"/>
    </row>
    <row r="337" spans="2:11" ht="10.8" thickTop="1" x14ac:dyDescent="0.2"/>
    <row r="338" spans="2:11" ht="10.8" thickBot="1" x14ac:dyDescent="0.25"/>
    <row r="339" spans="2:11" ht="10.8" thickTop="1" x14ac:dyDescent="0.2">
      <c r="B339" s="4"/>
      <c r="C339" s="4"/>
      <c r="D339" s="4"/>
      <c r="E339" s="4"/>
      <c r="F339" s="4"/>
      <c r="G339" s="4"/>
      <c r="H339" s="4"/>
      <c r="I339" s="5"/>
      <c r="K339" s="2">
        <f>+K318+1</f>
        <v>17</v>
      </c>
    </row>
    <row r="340" spans="2:11" x14ac:dyDescent="0.2">
      <c r="B340" s="7" t="s">
        <v>0</v>
      </c>
      <c r="C340" s="8"/>
      <c r="D340" s="8"/>
      <c r="E340" s="8"/>
      <c r="F340" s="8"/>
      <c r="G340" s="8"/>
      <c r="H340" s="9"/>
      <c r="I340" s="10"/>
    </row>
    <row r="341" spans="2:11" x14ac:dyDescent="0.2">
      <c r="B341" s="11" t="s">
        <v>1</v>
      </c>
      <c r="C341" s="12"/>
      <c r="D341" s="12"/>
      <c r="E341" s="12"/>
      <c r="F341" s="12"/>
      <c r="G341" s="12"/>
      <c r="H341" s="13"/>
      <c r="I341" s="10"/>
    </row>
    <row r="342" spans="2:11" x14ac:dyDescent="0.2">
      <c r="B342" s="11" t="s">
        <v>2</v>
      </c>
      <c r="C342" s="12"/>
      <c r="D342" s="12"/>
      <c r="E342" s="12"/>
      <c r="F342" s="12"/>
      <c r="G342" s="12"/>
      <c r="H342" s="13"/>
      <c r="I342" s="10"/>
    </row>
    <row r="343" spans="2:11" x14ac:dyDescent="0.2">
      <c r="B343" s="14"/>
      <c r="H343" s="15"/>
      <c r="I343" s="10"/>
    </row>
    <row r="344" spans="2:11" x14ac:dyDescent="0.2">
      <c r="B344" s="16" t="s">
        <v>3</v>
      </c>
      <c r="C344" s="17" t="s">
        <v>4</v>
      </c>
      <c r="D344" s="18"/>
      <c r="E344" s="18"/>
      <c r="F344" s="18"/>
      <c r="G344" s="18"/>
      <c r="H344" s="19"/>
      <c r="I344" s="10"/>
    </row>
    <row r="345" spans="2:11" ht="20.399999999999999" x14ac:dyDescent="0.2">
      <c r="B345" s="20" t="s">
        <v>5</v>
      </c>
      <c r="C345" s="21" t="s">
        <v>6</v>
      </c>
      <c r="D345" s="22"/>
      <c r="E345" s="22"/>
      <c r="F345" s="22"/>
      <c r="G345" s="22"/>
      <c r="H345" s="23"/>
      <c r="I345" s="10"/>
    </row>
    <row r="346" spans="2:11" x14ac:dyDescent="0.2">
      <c r="B346" s="20" t="s">
        <v>7</v>
      </c>
      <c r="C346" s="21" t="s">
        <v>8</v>
      </c>
      <c r="D346" s="22"/>
      <c r="E346" s="22"/>
      <c r="F346" s="22"/>
      <c r="G346" s="22"/>
      <c r="H346" s="23"/>
      <c r="I346" s="10"/>
    </row>
    <row r="347" spans="2:11" x14ac:dyDescent="0.2">
      <c r="B347" s="20" t="s">
        <v>9</v>
      </c>
      <c r="C347" s="21" t="s">
        <v>10</v>
      </c>
      <c r="D347" s="22"/>
      <c r="E347" s="22"/>
      <c r="F347" s="22"/>
      <c r="G347" s="22"/>
      <c r="H347" s="23"/>
      <c r="I347" s="10"/>
    </row>
    <row r="348" spans="2:11" x14ac:dyDescent="0.2">
      <c r="B348" s="20" t="s">
        <v>11</v>
      </c>
      <c r="C348" s="24" t="str">
        <f>VLOOKUP(K339,'[1]FORM XIII'!C$14:P565,3,0)</f>
        <v>MADAN SINGH</v>
      </c>
      <c r="D348" s="25"/>
      <c r="E348" s="25"/>
      <c r="F348" s="25"/>
      <c r="G348" s="25"/>
      <c r="H348" s="26"/>
      <c r="I348" s="10"/>
    </row>
    <row r="349" spans="2:11" x14ac:dyDescent="0.2">
      <c r="B349" s="20" t="s">
        <v>12</v>
      </c>
      <c r="C349" s="24">
        <f>VLOOKUP(K339,'[1]FORM XIII'!C$14:P565,2,0)</f>
        <v>72232174</v>
      </c>
      <c r="D349" s="25"/>
      <c r="E349" s="25"/>
      <c r="F349" s="25"/>
      <c r="G349" s="25"/>
      <c r="H349" s="26"/>
      <c r="I349" s="10"/>
    </row>
    <row r="350" spans="2:11" x14ac:dyDescent="0.2">
      <c r="B350" s="20" t="s">
        <v>13</v>
      </c>
      <c r="C350" s="24" t="str">
        <f>VLOOKUP(K339,'[1]FORM XIII'!C$14:P565,8,0)</f>
        <v/>
      </c>
      <c r="D350" s="25"/>
      <c r="E350" s="25"/>
      <c r="F350" s="25"/>
      <c r="G350" s="25"/>
      <c r="H350" s="26"/>
      <c r="I350" s="10"/>
    </row>
    <row r="351" spans="2:11" ht="20.399999999999999" x14ac:dyDescent="0.2">
      <c r="B351" s="20" t="s">
        <v>14</v>
      </c>
      <c r="C351" s="44" t="s">
        <v>15</v>
      </c>
      <c r="D351" s="45"/>
      <c r="E351" s="45"/>
      <c r="F351" s="45"/>
      <c r="G351" s="45"/>
      <c r="H351" s="46"/>
      <c r="I351" s="10"/>
    </row>
    <row r="352" spans="2:11" x14ac:dyDescent="0.2">
      <c r="B352" s="20" t="s">
        <v>16</v>
      </c>
      <c r="C352" s="44" t="s">
        <v>17</v>
      </c>
      <c r="D352" s="45"/>
      <c r="E352" s="45"/>
      <c r="F352" s="45"/>
      <c r="G352" s="45"/>
      <c r="H352" s="46"/>
      <c r="I352" s="10"/>
    </row>
    <row r="353" spans="2:11" x14ac:dyDescent="0.2">
      <c r="B353" s="20" t="s">
        <v>18</v>
      </c>
      <c r="C353" s="47" t="s">
        <v>19</v>
      </c>
      <c r="D353" s="22"/>
      <c r="E353" s="22"/>
      <c r="F353" s="22"/>
      <c r="G353" s="22"/>
      <c r="H353" s="23"/>
      <c r="I353" s="10"/>
    </row>
    <row r="354" spans="2:11" x14ac:dyDescent="0.2">
      <c r="B354" s="30" t="s">
        <v>20</v>
      </c>
      <c r="C354" s="31"/>
      <c r="D354" s="32"/>
      <c r="E354" s="32"/>
      <c r="F354" s="32"/>
      <c r="G354" s="32"/>
      <c r="H354" s="33"/>
      <c r="I354" s="10"/>
    </row>
    <row r="355" spans="2:11" x14ac:dyDescent="0.2">
      <c r="B355" s="34" t="s">
        <v>21</v>
      </c>
      <c r="C355" s="35"/>
      <c r="D355" s="35"/>
      <c r="E355" s="35"/>
      <c r="F355" s="35"/>
      <c r="G355" s="35"/>
      <c r="H355" s="36"/>
      <c r="I355" s="10"/>
    </row>
    <row r="356" spans="2:11" x14ac:dyDescent="0.2">
      <c r="B356" s="37" t="s">
        <v>22</v>
      </c>
      <c r="C356" s="38" t="s">
        <v>23</v>
      </c>
      <c r="D356" s="38"/>
      <c r="E356" s="38"/>
      <c r="F356" s="38"/>
      <c r="G356" s="38"/>
      <c r="H356" s="39"/>
      <c r="I356" s="10"/>
    </row>
    <row r="357" spans="2:11" ht="10.8" thickBot="1" x14ac:dyDescent="0.25">
      <c r="B357" s="40"/>
      <c r="C357" s="41"/>
      <c r="D357" s="41"/>
      <c r="E357" s="41"/>
      <c r="F357" s="41"/>
      <c r="G357" s="41"/>
      <c r="H357" s="41"/>
      <c r="I357" s="42"/>
    </row>
    <row r="358" spans="2:11" ht="10.8" thickTop="1" x14ac:dyDescent="0.2"/>
    <row r="359" spans="2:11" ht="10.8" thickBot="1" x14ac:dyDescent="0.25"/>
    <row r="360" spans="2:11" ht="10.8" thickTop="1" x14ac:dyDescent="0.2">
      <c r="B360" s="4"/>
      <c r="C360" s="4"/>
      <c r="D360" s="4"/>
      <c r="E360" s="4"/>
      <c r="F360" s="4"/>
      <c r="G360" s="4"/>
      <c r="H360" s="4"/>
      <c r="I360" s="5"/>
      <c r="K360" s="2">
        <f>+K339+1</f>
        <v>18</v>
      </c>
    </row>
    <row r="361" spans="2:11" x14ac:dyDescent="0.2">
      <c r="B361" s="7" t="s">
        <v>0</v>
      </c>
      <c r="C361" s="8"/>
      <c r="D361" s="8"/>
      <c r="E361" s="8"/>
      <c r="F361" s="8"/>
      <c r="G361" s="8"/>
      <c r="H361" s="9"/>
      <c r="I361" s="10"/>
    </row>
    <row r="362" spans="2:11" x14ac:dyDescent="0.2">
      <c r="B362" s="11" t="s">
        <v>1</v>
      </c>
      <c r="C362" s="12"/>
      <c r="D362" s="12"/>
      <c r="E362" s="12"/>
      <c r="F362" s="12"/>
      <c r="G362" s="12"/>
      <c r="H362" s="13"/>
      <c r="I362" s="10"/>
    </row>
    <row r="363" spans="2:11" x14ac:dyDescent="0.2">
      <c r="B363" s="11" t="s">
        <v>2</v>
      </c>
      <c r="C363" s="12"/>
      <c r="D363" s="12"/>
      <c r="E363" s="12"/>
      <c r="F363" s="12"/>
      <c r="G363" s="12"/>
      <c r="H363" s="13"/>
      <c r="I363" s="10"/>
    </row>
    <row r="364" spans="2:11" x14ac:dyDescent="0.2">
      <c r="B364" s="14"/>
      <c r="H364" s="15"/>
      <c r="I364" s="10"/>
    </row>
    <row r="365" spans="2:11" x14ac:dyDescent="0.2">
      <c r="B365" s="16" t="s">
        <v>3</v>
      </c>
      <c r="C365" s="17" t="s">
        <v>4</v>
      </c>
      <c r="D365" s="18"/>
      <c r="E365" s="18"/>
      <c r="F365" s="18"/>
      <c r="G365" s="18"/>
      <c r="H365" s="19"/>
      <c r="I365" s="10"/>
    </row>
    <row r="366" spans="2:11" ht="20.399999999999999" x14ac:dyDescent="0.2">
      <c r="B366" s="20" t="s">
        <v>5</v>
      </c>
      <c r="C366" s="21" t="s">
        <v>6</v>
      </c>
      <c r="D366" s="22"/>
      <c r="E366" s="22"/>
      <c r="F366" s="22"/>
      <c r="G366" s="22"/>
      <c r="H366" s="23"/>
      <c r="I366" s="10"/>
    </row>
    <row r="367" spans="2:11" x14ac:dyDescent="0.2">
      <c r="B367" s="20" t="s">
        <v>7</v>
      </c>
      <c r="C367" s="21" t="s">
        <v>8</v>
      </c>
      <c r="D367" s="22"/>
      <c r="E367" s="22"/>
      <c r="F367" s="22"/>
      <c r="G367" s="22"/>
      <c r="H367" s="23"/>
      <c r="I367" s="10"/>
    </row>
    <row r="368" spans="2:11" x14ac:dyDescent="0.2">
      <c r="B368" s="20" t="s">
        <v>9</v>
      </c>
      <c r="C368" s="21" t="s">
        <v>10</v>
      </c>
      <c r="D368" s="22"/>
      <c r="E368" s="22"/>
      <c r="F368" s="22"/>
      <c r="G368" s="22"/>
      <c r="H368" s="23"/>
      <c r="I368" s="10"/>
    </row>
    <row r="369" spans="2:11" x14ac:dyDescent="0.2">
      <c r="B369" s="20" t="s">
        <v>11</v>
      </c>
      <c r="C369" s="24" t="str">
        <f>VLOOKUP(K360,'[1]FORM XIII'!C$14:P586,3,0)</f>
        <v>BABLU</v>
      </c>
      <c r="D369" s="25"/>
      <c r="E369" s="25"/>
      <c r="F369" s="25"/>
      <c r="G369" s="25"/>
      <c r="H369" s="26"/>
      <c r="I369" s="10"/>
    </row>
    <row r="370" spans="2:11" x14ac:dyDescent="0.2">
      <c r="B370" s="20" t="s">
        <v>12</v>
      </c>
      <c r="C370" s="24">
        <f>VLOOKUP(K360,'[1]FORM XIII'!C$14:P586,2,0)</f>
        <v>72232208</v>
      </c>
      <c r="D370" s="25"/>
      <c r="E370" s="25"/>
      <c r="F370" s="25"/>
      <c r="G370" s="25"/>
      <c r="H370" s="26"/>
      <c r="I370" s="10"/>
    </row>
    <row r="371" spans="2:11" x14ac:dyDescent="0.2">
      <c r="B371" s="20" t="s">
        <v>13</v>
      </c>
      <c r="C371" s="24" t="str">
        <f>VLOOKUP(K360,'[1]FORM XIII'!C$14:P586,8,0)</f>
        <v/>
      </c>
      <c r="D371" s="25"/>
      <c r="E371" s="25"/>
      <c r="F371" s="25"/>
      <c r="G371" s="25"/>
      <c r="H371" s="26"/>
      <c r="I371" s="10"/>
    </row>
    <row r="372" spans="2:11" ht="20.399999999999999" x14ac:dyDescent="0.2">
      <c r="B372" s="20" t="s">
        <v>14</v>
      </c>
      <c r="C372" s="44" t="s">
        <v>15</v>
      </c>
      <c r="D372" s="45"/>
      <c r="E372" s="45"/>
      <c r="F372" s="45"/>
      <c r="G372" s="45"/>
      <c r="H372" s="46"/>
      <c r="I372" s="10"/>
    </row>
    <row r="373" spans="2:11" x14ac:dyDescent="0.2">
      <c r="B373" s="20" t="s">
        <v>16</v>
      </c>
      <c r="C373" s="44" t="s">
        <v>17</v>
      </c>
      <c r="D373" s="45"/>
      <c r="E373" s="45"/>
      <c r="F373" s="45"/>
      <c r="G373" s="45"/>
      <c r="H373" s="46"/>
      <c r="I373" s="10"/>
    </row>
    <row r="374" spans="2:11" x14ac:dyDescent="0.2">
      <c r="B374" s="20" t="s">
        <v>18</v>
      </c>
      <c r="C374" s="47" t="s">
        <v>19</v>
      </c>
      <c r="D374" s="22"/>
      <c r="E374" s="22"/>
      <c r="F374" s="22"/>
      <c r="G374" s="22"/>
      <c r="H374" s="23"/>
      <c r="I374" s="10"/>
    </row>
    <row r="375" spans="2:11" x14ac:dyDescent="0.2">
      <c r="B375" s="30" t="s">
        <v>20</v>
      </c>
      <c r="C375" s="31"/>
      <c r="D375" s="32"/>
      <c r="E375" s="32"/>
      <c r="F375" s="32"/>
      <c r="G375" s="32"/>
      <c r="H375" s="33"/>
      <c r="I375" s="10"/>
    </row>
    <row r="376" spans="2:11" x14ac:dyDescent="0.2">
      <c r="B376" s="34" t="s">
        <v>21</v>
      </c>
      <c r="C376" s="35"/>
      <c r="D376" s="35"/>
      <c r="E376" s="35"/>
      <c r="F376" s="35"/>
      <c r="G376" s="35"/>
      <c r="H376" s="36"/>
      <c r="I376" s="10"/>
    </row>
    <row r="377" spans="2:11" x14ac:dyDescent="0.2">
      <c r="B377" s="37" t="s">
        <v>22</v>
      </c>
      <c r="C377" s="38" t="s">
        <v>23</v>
      </c>
      <c r="D377" s="38"/>
      <c r="E377" s="38"/>
      <c r="F377" s="38"/>
      <c r="G377" s="38"/>
      <c r="H377" s="39"/>
      <c r="I377" s="10"/>
    </row>
    <row r="378" spans="2:11" ht="10.8" thickBot="1" x14ac:dyDescent="0.25">
      <c r="B378" s="40"/>
      <c r="C378" s="41"/>
      <c r="D378" s="41"/>
      <c r="E378" s="41"/>
      <c r="F378" s="41"/>
      <c r="G378" s="41"/>
      <c r="H378" s="41"/>
      <c r="I378" s="42"/>
    </row>
    <row r="379" spans="2:11" ht="10.8" thickTop="1" x14ac:dyDescent="0.2"/>
    <row r="380" spans="2:11" ht="10.8" thickBot="1" x14ac:dyDescent="0.25"/>
    <row r="381" spans="2:11" ht="10.8" thickTop="1" x14ac:dyDescent="0.2">
      <c r="B381" s="4"/>
      <c r="C381" s="4"/>
      <c r="D381" s="4"/>
      <c r="E381" s="4"/>
      <c r="F381" s="4"/>
      <c r="G381" s="4"/>
      <c r="H381" s="4"/>
      <c r="I381" s="5"/>
      <c r="K381" s="2">
        <f>+K360+1</f>
        <v>19</v>
      </c>
    </row>
    <row r="382" spans="2:11" x14ac:dyDescent="0.2">
      <c r="B382" s="7" t="s">
        <v>0</v>
      </c>
      <c r="C382" s="8"/>
      <c r="D382" s="8"/>
      <c r="E382" s="8"/>
      <c r="F382" s="8"/>
      <c r="G382" s="8"/>
      <c r="H382" s="9"/>
      <c r="I382" s="10"/>
    </row>
    <row r="383" spans="2:11" x14ac:dyDescent="0.2">
      <c r="B383" s="11" t="s">
        <v>1</v>
      </c>
      <c r="C383" s="12"/>
      <c r="D383" s="12"/>
      <c r="E383" s="12"/>
      <c r="F383" s="12"/>
      <c r="G383" s="12"/>
      <c r="H383" s="13"/>
      <c r="I383" s="10"/>
    </row>
    <row r="384" spans="2:11" x14ac:dyDescent="0.2">
      <c r="B384" s="11" t="s">
        <v>2</v>
      </c>
      <c r="C384" s="12"/>
      <c r="D384" s="12"/>
      <c r="E384" s="12"/>
      <c r="F384" s="12"/>
      <c r="G384" s="12"/>
      <c r="H384" s="13"/>
      <c r="I384" s="10"/>
    </row>
    <row r="385" spans="2:9" x14ac:dyDescent="0.2">
      <c r="B385" s="14"/>
      <c r="H385" s="15"/>
      <c r="I385" s="10"/>
    </row>
    <row r="386" spans="2:9" x14ac:dyDescent="0.2">
      <c r="B386" s="16" t="s">
        <v>3</v>
      </c>
      <c r="C386" s="17" t="s">
        <v>4</v>
      </c>
      <c r="D386" s="18"/>
      <c r="E386" s="18"/>
      <c r="F386" s="18"/>
      <c r="G386" s="18"/>
      <c r="H386" s="19"/>
      <c r="I386" s="10"/>
    </row>
    <row r="387" spans="2:9" ht="20.399999999999999" x14ac:dyDescent="0.2">
      <c r="B387" s="20" t="s">
        <v>5</v>
      </c>
      <c r="C387" s="21" t="s">
        <v>6</v>
      </c>
      <c r="D387" s="22"/>
      <c r="E387" s="22"/>
      <c r="F387" s="22"/>
      <c r="G387" s="22"/>
      <c r="H387" s="23"/>
      <c r="I387" s="10"/>
    </row>
    <row r="388" spans="2:9" x14ac:dyDescent="0.2">
      <c r="B388" s="20" t="s">
        <v>7</v>
      </c>
      <c r="C388" s="21" t="s">
        <v>8</v>
      </c>
      <c r="D388" s="22"/>
      <c r="E388" s="22"/>
      <c r="F388" s="22"/>
      <c r="G388" s="22"/>
      <c r="H388" s="23"/>
      <c r="I388" s="10"/>
    </row>
    <row r="389" spans="2:9" x14ac:dyDescent="0.2">
      <c r="B389" s="20" t="s">
        <v>9</v>
      </c>
      <c r="C389" s="21" t="s">
        <v>10</v>
      </c>
      <c r="D389" s="22"/>
      <c r="E389" s="22"/>
      <c r="F389" s="22"/>
      <c r="G389" s="22"/>
      <c r="H389" s="23"/>
      <c r="I389" s="10"/>
    </row>
    <row r="390" spans="2:9" x14ac:dyDescent="0.2">
      <c r="B390" s="20" t="s">
        <v>11</v>
      </c>
      <c r="C390" s="24" t="str">
        <f>VLOOKUP(K381,'[1]FORM XIII'!C$14:P607,3,0)</f>
        <v>MUKESH</v>
      </c>
      <c r="D390" s="25"/>
      <c r="E390" s="25"/>
      <c r="F390" s="25"/>
      <c r="G390" s="25"/>
      <c r="H390" s="26"/>
      <c r="I390" s="10"/>
    </row>
    <row r="391" spans="2:9" x14ac:dyDescent="0.2">
      <c r="B391" s="20" t="s">
        <v>12</v>
      </c>
      <c r="C391" s="24">
        <f>VLOOKUP(K381,'[1]FORM XIII'!C$14:P607,2,0)</f>
        <v>72232177</v>
      </c>
      <c r="D391" s="25"/>
      <c r="E391" s="25"/>
      <c r="F391" s="25"/>
      <c r="G391" s="25"/>
      <c r="H391" s="26"/>
      <c r="I391" s="10"/>
    </row>
    <row r="392" spans="2:9" x14ac:dyDescent="0.2">
      <c r="B392" s="20" t="s">
        <v>13</v>
      </c>
      <c r="C392" s="24" t="str">
        <f>VLOOKUP(K381,'[1]FORM XIII'!C$14:P607,8,0)</f>
        <v/>
      </c>
      <c r="D392" s="25"/>
      <c r="E392" s="25"/>
      <c r="F392" s="25"/>
      <c r="G392" s="25"/>
      <c r="H392" s="26"/>
      <c r="I392" s="10"/>
    </row>
    <row r="393" spans="2:9" ht="20.399999999999999" x14ac:dyDescent="0.2">
      <c r="B393" s="20" t="s">
        <v>14</v>
      </c>
      <c r="C393" s="44" t="s">
        <v>15</v>
      </c>
      <c r="D393" s="45"/>
      <c r="E393" s="45"/>
      <c r="F393" s="45"/>
      <c r="G393" s="45"/>
      <c r="H393" s="46"/>
      <c r="I393" s="10"/>
    </row>
    <row r="394" spans="2:9" x14ac:dyDescent="0.2">
      <c r="B394" s="20" t="s">
        <v>16</v>
      </c>
      <c r="C394" s="44" t="s">
        <v>17</v>
      </c>
      <c r="D394" s="45"/>
      <c r="E394" s="45"/>
      <c r="F394" s="45"/>
      <c r="G394" s="45"/>
      <c r="H394" s="46"/>
      <c r="I394" s="10"/>
    </row>
    <row r="395" spans="2:9" x14ac:dyDescent="0.2">
      <c r="B395" s="20" t="s">
        <v>18</v>
      </c>
      <c r="C395" s="47" t="s">
        <v>19</v>
      </c>
      <c r="D395" s="22"/>
      <c r="E395" s="22"/>
      <c r="F395" s="22"/>
      <c r="G395" s="22"/>
      <c r="H395" s="23"/>
      <c r="I395" s="10"/>
    </row>
    <row r="396" spans="2:9" x14ac:dyDescent="0.2">
      <c r="B396" s="30" t="s">
        <v>20</v>
      </c>
      <c r="C396" s="31"/>
      <c r="D396" s="32"/>
      <c r="E396" s="32"/>
      <c r="F396" s="32"/>
      <c r="G396" s="32"/>
      <c r="H396" s="33"/>
      <c r="I396" s="10"/>
    </row>
    <row r="397" spans="2:9" x14ac:dyDescent="0.2">
      <c r="B397" s="34" t="s">
        <v>21</v>
      </c>
      <c r="C397" s="35"/>
      <c r="D397" s="35"/>
      <c r="E397" s="35"/>
      <c r="F397" s="35"/>
      <c r="G397" s="35"/>
      <c r="H397" s="36"/>
      <c r="I397" s="10"/>
    </row>
    <row r="398" spans="2:9" x14ac:dyDescent="0.2">
      <c r="B398" s="37" t="s">
        <v>22</v>
      </c>
      <c r="C398" s="38" t="s">
        <v>23</v>
      </c>
      <c r="D398" s="38"/>
      <c r="E398" s="38"/>
      <c r="F398" s="38"/>
      <c r="G398" s="38"/>
      <c r="H398" s="39"/>
      <c r="I398" s="10"/>
    </row>
    <row r="399" spans="2:9" ht="10.8" thickBot="1" x14ac:dyDescent="0.25">
      <c r="B399" s="40"/>
      <c r="C399" s="41"/>
      <c r="D399" s="41"/>
      <c r="E399" s="41"/>
      <c r="F399" s="41"/>
      <c r="G399" s="41"/>
      <c r="H399" s="41"/>
      <c r="I399" s="42"/>
    </row>
    <row r="400" spans="2:9" ht="10.8" thickTop="1" x14ac:dyDescent="0.2"/>
    <row r="401" spans="2:11" ht="10.8" thickBot="1" x14ac:dyDescent="0.25"/>
    <row r="402" spans="2:11" ht="10.8" thickTop="1" x14ac:dyDescent="0.2">
      <c r="B402" s="4"/>
      <c r="C402" s="4"/>
      <c r="D402" s="4"/>
      <c r="E402" s="4"/>
      <c r="F402" s="4"/>
      <c r="G402" s="4"/>
      <c r="H402" s="4"/>
      <c r="I402" s="5"/>
      <c r="J402" s="6"/>
      <c r="K402" s="2">
        <f>+K381+1</f>
        <v>20</v>
      </c>
    </row>
    <row r="403" spans="2:11" x14ac:dyDescent="0.2">
      <c r="B403" s="7" t="s">
        <v>0</v>
      </c>
      <c r="C403" s="8"/>
      <c r="D403" s="8"/>
      <c r="E403" s="8"/>
      <c r="F403" s="8"/>
      <c r="G403" s="8"/>
      <c r="H403" s="9"/>
      <c r="I403" s="10"/>
      <c r="J403" s="6"/>
    </row>
    <row r="404" spans="2:11" x14ac:dyDescent="0.2">
      <c r="B404" s="11" t="s">
        <v>1</v>
      </c>
      <c r="C404" s="12"/>
      <c r="D404" s="12"/>
      <c r="E404" s="12"/>
      <c r="F404" s="12"/>
      <c r="G404" s="12"/>
      <c r="H404" s="13"/>
      <c r="I404" s="10"/>
      <c r="J404" s="6"/>
    </row>
    <row r="405" spans="2:11" x14ac:dyDescent="0.2">
      <c r="B405" s="11" t="s">
        <v>2</v>
      </c>
      <c r="C405" s="12"/>
      <c r="D405" s="12"/>
      <c r="E405" s="12"/>
      <c r="F405" s="12"/>
      <c r="G405" s="12"/>
      <c r="H405" s="13"/>
      <c r="I405" s="10"/>
      <c r="J405" s="6"/>
    </row>
    <row r="406" spans="2:11" x14ac:dyDescent="0.2">
      <c r="B406" s="14"/>
      <c r="H406" s="15"/>
      <c r="I406" s="10"/>
      <c r="J406" s="6"/>
    </row>
    <row r="407" spans="2:11" x14ac:dyDescent="0.2">
      <c r="B407" s="16" t="s">
        <v>3</v>
      </c>
      <c r="C407" s="17" t="s">
        <v>4</v>
      </c>
      <c r="D407" s="18"/>
      <c r="E407" s="18"/>
      <c r="F407" s="18"/>
      <c r="G407" s="18"/>
      <c r="H407" s="19"/>
      <c r="I407" s="10"/>
      <c r="J407" s="6"/>
    </row>
    <row r="408" spans="2:11" ht="20.399999999999999" x14ac:dyDescent="0.2">
      <c r="B408" s="20" t="s">
        <v>5</v>
      </c>
      <c r="C408" s="21" t="s">
        <v>6</v>
      </c>
      <c r="D408" s="22"/>
      <c r="E408" s="22"/>
      <c r="F408" s="22"/>
      <c r="G408" s="22"/>
      <c r="H408" s="23"/>
      <c r="I408" s="10"/>
      <c r="J408" s="6"/>
    </row>
    <row r="409" spans="2:11" x14ac:dyDescent="0.2">
      <c r="B409" s="20" t="s">
        <v>7</v>
      </c>
      <c r="C409" s="21" t="s">
        <v>8</v>
      </c>
      <c r="D409" s="22"/>
      <c r="E409" s="22"/>
      <c r="F409" s="22"/>
      <c r="G409" s="22"/>
      <c r="H409" s="23"/>
      <c r="I409" s="10"/>
      <c r="J409" s="6"/>
    </row>
    <row r="410" spans="2:11" x14ac:dyDescent="0.2">
      <c r="B410" s="20" t="s">
        <v>9</v>
      </c>
      <c r="C410" s="21" t="s">
        <v>10</v>
      </c>
      <c r="D410" s="22"/>
      <c r="E410" s="22"/>
      <c r="F410" s="22"/>
      <c r="G410" s="22"/>
      <c r="H410" s="23"/>
      <c r="I410" s="10"/>
      <c r="J410" s="6"/>
    </row>
    <row r="411" spans="2:11" x14ac:dyDescent="0.2">
      <c r="B411" s="20" t="s">
        <v>11</v>
      </c>
      <c r="C411" s="24" t="str">
        <f>VLOOKUP(K402,'[1]FORM XIII'!C$14:P628,3,0)</f>
        <v>AKSHAY KUMAR</v>
      </c>
      <c r="D411" s="25"/>
      <c r="E411" s="25"/>
      <c r="F411" s="25"/>
      <c r="G411" s="25"/>
      <c r="H411" s="26"/>
      <c r="I411" s="10"/>
      <c r="J411" s="6"/>
    </row>
    <row r="412" spans="2:11" x14ac:dyDescent="0.2">
      <c r="B412" s="20" t="s">
        <v>12</v>
      </c>
      <c r="C412" s="24">
        <f>VLOOKUP(K402,'[1]FORM XIII'!C$14:P628,2,0)</f>
        <v>72232178</v>
      </c>
      <c r="D412" s="25"/>
      <c r="E412" s="25"/>
      <c r="F412" s="25"/>
      <c r="G412" s="25"/>
      <c r="H412" s="26"/>
      <c r="I412" s="10"/>
      <c r="J412" s="6"/>
    </row>
    <row r="413" spans="2:11" x14ac:dyDescent="0.2">
      <c r="B413" s="20" t="s">
        <v>13</v>
      </c>
      <c r="C413" s="24" t="str">
        <f>VLOOKUP(K402,'[1]FORM XIII'!C$14:P628,8,0)</f>
        <v/>
      </c>
      <c r="D413" s="25"/>
      <c r="E413" s="25"/>
      <c r="F413" s="25"/>
      <c r="G413" s="25"/>
      <c r="H413" s="26"/>
      <c r="I413" s="10"/>
      <c r="J413" s="6"/>
    </row>
    <row r="414" spans="2:11" ht="20.399999999999999" x14ac:dyDescent="0.2">
      <c r="B414" s="20" t="s">
        <v>14</v>
      </c>
      <c r="C414" s="44" t="s">
        <v>15</v>
      </c>
      <c r="D414" s="45"/>
      <c r="E414" s="45"/>
      <c r="F414" s="45"/>
      <c r="G414" s="45"/>
      <c r="H414" s="46"/>
      <c r="I414" s="10"/>
      <c r="J414" s="6"/>
    </row>
    <row r="415" spans="2:11" x14ac:dyDescent="0.2">
      <c r="B415" s="20" t="s">
        <v>16</v>
      </c>
      <c r="C415" s="44" t="s">
        <v>17</v>
      </c>
      <c r="D415" s="45"/>
      <c r="E415" s="45"/>
      <c r="F415" s="45"/>
      <c r="G415" s="45"/>
      <c r="H415" s="46"/>
      <c r="I415" s="10"/>
      <c r="J415" s="6"/>
    </row>
    <row r="416" spans="2:11" x14ac:dyDescent="0.2">
      <c r="B416" s="20" t="s">
        <v>18</v>
      </c>
      <c r="C416" s="47" t="s">
        <v>19</v>
      </c>
      <c r="D416" s="22"/>
      <c r="E416" s="22"/>
      <c r="F416" s="22"/>
      <c r="G416" s="22"/>
      <c r="H416" s="23"/>
      <c r="I416" s="10"/>
      <c r="J416" s="6"/>
    </row>
    <row r="417" spans="2:11" x14ac:dyDescent="0.2">
      <c r="B417" s="30" t="s">
        <v>20</v>
      </c>
      <c r="C417" s="31"/>
      <c r="D417" s="32"/>
      <c r="E417" s="32"/>
      <c r="F417" s="32"/>
      <c r="G417" s="32"/>
      <c r="H417" s="33"/>
      <c r="I417" s="10"/>
      <c r="J417" s="6"/>
    </row>
    <row r="418" spans="2:11" x14ac:dyDescent="0.2">
      <c r="B418" s="34" t="s">
        <v>21</v>
      </c>
      <c r="C418" s="35"/>
      <c r="D418" s="35"/>
      <c r="E418" s="35"/>
      <c r="F418" s="35"/>
      <c r="G418" s="35"/>
      <c r="H418" s="36"/>
      <c r="I418" s="10"/>
      <c r="J418" s="6"/>
    </row>
    <row r="419" spans="2:11" x14ac:dyDescent="0.2">
      <c r="B419" s="37" t="s">
        <v>22</v>
      </c>
      <c r="C419" s="38" t="s">
        <v>23</v>
      </c>
      <c r="D419" s="38"/>
      <c r="E419" s="38"/>
      <c r="F419" s="38"/>
      <c r="G419" s="38"/>
      <c r="H419" s="39"/>
      <c r="I419" s="10"/>
      <c r="J419" s="6"/>
    </row>
    <row r="420" spans="2:11" ht="10.8" thickBot="1" x14ac:dyDescent="0.25">
      <c r="B420" s="40"/>
      <c r="C420" s="41"/>
      <c r="D420" s="41"/>
      <c r="E420" s="41"/>
      <c r="F420" s="41"/>
      <c r="G420" s="41"/>
      <c r="H420" s="41"/>
      <c r="I420" s="42"/>
      <c r="J420" s="6"/>
    </row>
    <row r="421" spans="2:11" ht="10.8" thickTop="1" x14ac:dyDescent="0.2">
      <c r="J421" s="6"/>
    </row>
    <row r="422" spans="2:11" ht="10.8" thickBot="1" x14ac:dyDescent="0.25"/>
    <row r="423" spans="2:11" ht="10.8" thickTop="1" x14ac:dyDescent="0.2">
      <c r="B423" s="4"/>
      <c r="C423" s="4"/>
      <c r="D423" s="4"/>
      <c r="E423" s="4"/>
      <c r="F423" s="4"/>
      <c r="G423" s="4"/>
      <c r="H423" s="4"/>
      <c r="I423" s="5"/>
      <c r="K423" s="2">
        <f>+K402+1</f>
        <v>21</v>
      </c>
    </row>
    <row r="424" spans="2:11" x14ac:dyDescent="0.2">
      <c r="B424" s="7" t="s">
        <v>0</v>
      </c>
      <c r="C424" s="8"/>
      <c r="D424" s="8"/>
      <c r="E424" s="8"/>
      <c r="F424" s="8"/>
      <c r="G424" s="8"/>
      <c r="H424" s="9"/>
      <c r="I424" s="10"/>
    </row>
    <row r="425" spans="2:11" x14ac:dyDescent="0.2">
      <c r="B425" s="11" t="s">
        <v>1</v>
      </c>
      <c r="C425" s="12"/>
      <c r="D425" s="12"/>
      <c r="E425" s="12"/>
      <c r="F425" s="12"/>
      <c r="G425" s="12"/>
      <c r="H425" s="13"/>
      <c r="I425" s="10"/>
    </row>
    <row r="426" spans="2:11" x14ac:dyDescent="0.2">
      <c r="B426" s="11" t="s">
        <v>2</v>
      </c>
      <c r="C426" s="12"/>
      <c r="D426" s="12"/>
      <c r="E426" s="12"/>
      <c r="F426" s="12"/>
      <c r="G426" s="12"/>
      <c r="H426" s="13"/>
      <c r="I426" s="10"/>
    </row>
    <row r="427" spans="2:11" x14ac:dyDescent="0.2">
      <c r="B427" s="14"/>
      <c r="H427" s="15"/>
      <c r="I427" s="10"/>
    </row>
    <row r="428" spans="2:11" x14ac:dyDescent="0.2">
      <c r="B428" s="16" t="s">
        <v>3</v>
      </c>
      <c r="C428" s="17" t="s">
        <v>4</v>
      </c>
      <c r="D428" s="18"/>
      <c r="E428" s="18"/>
      <c r="F428" s="18"/>
      <c r="G428" s="18"/>
      <c r="H428" s="19"/>
      <c r="I428" s="10"/>
    </row>
    <row r="429" spans="2:11" ht="20.399999999999999" x14ac:dyDescent="0.2">
      <c r="B429" s="20" t="s">
        <v>5</v>
      </c>
      <c r="C429" s="21" t="s">
        <v>6</v>
      </c>
      <c r="D429" s="22"/>
      <c r="E429" s="22"/>
      <c r="F429" s="22"/>
      <c r="G429" s="22"/>
      <c r="H429" s="23"/>
      <c r="I429" s="10"/>
    </row>
    <row r="430" spans="2:11" x14ac:dyDescent="0.2">
      <c r="B430" s="20" t="s">
        <v>7</v>
      </c>
      <c r="C430" s="21" t="s">
        <v>8</v>
      </c>
      <c r="D430" s="22"/>
      <c r="E430" s="22"/>
      <c r="F430" s="22"/>
      <c r="G430" s="22"/>
      <c r="H430" s="23"/>
      <c r="I430" s="10"/>
    </row>
    <row r="431" spans="2:11" x14ac:dyDescent="0.2">
      <c r="B431" s="20" t="s">
        <v>9</v>
      </c>
      <c r="C431" s="21" t="s">
        <v>10</v>
      </c>
      <c r="D431" s="22"/>
      <c r="E431" s="22"/>
      <c r="F431" s="22"/>
      <c r="G431" s="22"/>
      <c r="H431" s="23"/>
      <c r="I431" s="10"/>
    </row>
    <row r="432" spans="2:11" x14ac:dyDescent="0.2">
      <c r="B432" s="20" t="s">
        <v>11</v>
      </c>
      <c r="C432" s="24" t="str">
        <f>VLOOKUP(K423,'[1]FORM XIII'!C$14:P649,3,0)</f>
        <v>MONU</v>
      </c>
      <c r="D432" s="25"/>
      <c r="E432" s="25"/>
      <c r="F432" s="25"/>
      <c r="G432" s="25"/>
      <c r="H432" s="26"/>
      <c r="I432" s="10"/>
    </row>
    <row r="433" spans="2:11" x14ac:dyDescent="0.2">
      <c r="B433" s="20" t="s">
        <v>12</v>
      </c>
      <c r="C433" s="24">
        <f>VLOOKUP(K423,'[1]FORM XIII'!C$14:P649,2,0)</f>
        <v>72232179</v>
      </c>
      <c r="D433" s="25"/>
      <c r="E433" s="25"/>
      <c r="F433" s="25"/>
      <c r="G433" s="25"/>
      <c r="H433" s="26"/>
      <c r="I433" s="10"/>
    </row>
    <row r="434" spans="2:11" x14ac:dyDescent="0.2">
      <c r="B434" s="20" t="s">
        <v>13</v>
      </c>
      <c r="C434" s="24" t="str">
        <f>VLOOKUP(K423,'[1]FORM XIII'!C$14:P649,8,0)</f>
        <v/>
      </c>
      <c r="D434" s="25"/>
      <c r="E434" s="25"/>
      <c r="F434" s="25"/>
      <c r="G434" s="25"/>
      <c r="H434" s="26"/>
      <c r="I434" s="10"/>
    </row>
    <row r="435" spans="2:11" ht="20.399999999999999" x14ac:dyDescent="0.2">
      <c r="B435" s="20" t="s">
        <v>14</v>
      </c>
      <c r="C435" s="44" t="s">
        <v>15</v>
      </c>
      <c r="D435" s="45"/>
      <c r="E435" s="45"/>
      <c r="F435" s="45"/>
      <c r="G435" s="45"/>
      <c r="H435" s="46"/>
      <c r="I435" s="10"/>
    </row>
    <row r="436" spans="2:11" x14ac:dyDescent="0.2">
      <c r="B436" s="20" t="s">
        <v>16</v>
      </c>
      <c r="C436" s="44" t="s">
        <v>17</v>
      </c>
      <c r="D436" s="45"/>
      <c r="E436" s="45"/>
      <c r="F436" s="45"/>
      <c r="G436" s="45"/>
      <c r="H436" s="46"/>
      <c r="I436" s="10"/>
    </row>
    <row r="437" spans="2:11" x14ac:dyDescent="0.2">
      <c r="B437" s="20" t="s">
        <v>18</v>
      </c>
      <c r="C437" s="47" t="s">
        <v>19</v>
      </c>
      <c r="D437" s="22"/>
      <c r="E437" s="22"/>
      <c r="F437" s="22"/>
      <c r="G437" s="22"/>
      <c r="H437" s="23"/>
      <c r="I437" s="10"/>
    </row>
    <row r="438" spans="2:11" x14ac:dyDescent="0.2">
      <c r="B438" s="30" t="s">
        <v>20</v>
      </c>
      <c r="C438" s="31"/>
      <c r="D438" s="32"/>
      <c r="E438" s="32"/>
      <c r="F438" s="32"/>
      <c r="G438" s="32"/>
      <c r="H438" s="33"/>
      <c r="I438" s="10"/>
    </row>
    <row r="439" spans="2:11" x14ac:dyDescent="0.2">
      <c r="B439" s="34" t="s">
        <v>21</v>
      </c>
      <c r="C439" s="35"/>
      <c r="D439" s="35"/>
      <c r="E439" s="35"/>
      <c r="F439" s="35"/>
      <c r="G439" s="35"/>
      <c r="H439" s="36"/>
      <c r="I439" s="10"/>
    </row>
    <row r="440" spans="2:11" x14ac:dyDescent="0.2">
      <c r="B440" s="37" t="s">
        <v>22</v>
      </c>
      <c r="C440" s="38" t="s">
        <v>23</v>
      </c>
      <c r="D440" s="38"/>
      <c r="E440" s="38"/>
      <c r="F440" s="38"/>
      <c r="G440" s="38"/>
      <c r="H440" s="39"/>
      <c r="I440" s="10"/>
    </row>
    <row r="441" spans="2:11" ht="10.8" thickBot="1" x14ac:dyDescent="0.25">
      <c r="B441" s="40"/>
      <c r="C441" s="41"/>
      <c r="D441" s="41"/>
      <c r="E441" s="41"/>
      <c r="F441" s="41"/>
      <c r="G441" s="41"/>
      <c r="H441" s="41"/>
      <c r="I441" s="42"/>
    </row>
    <row r="442" spans="2:11" ht="10.8" thickTop="1" x14ac:dyDescent="0.2"/>
    <row r="444" spans="2:11" ht="10.8" thickBot="1" x14ac:dyDescent="0.25"/>
    <row r="445" spans="2:11" ht="10.8" thickTop="1" x14ac:dyDescent="0.2">
      <c r="B445" s="4"/>
      <c r="C445" s="4"/>
      <c r="D445" s="4"/>
      <c r="E445" s="4"/>
      <c r="F445" s="4"/>
      <c r="G445" s="4"/>
      <c r="H445" s="4"/>
      <c r="I445" s="5"/>
      <c r="K445" s="2">
        <f>+K423+1</f>
        <v>22</v>
      </c>
    </row>
    <row r="446" spans="2:11" x14ac:dyDescent="0.2">
      <c r="B446" s="7" t="s">
        <v>0</v>
      </c>
      <c r="C446" s="8"/>
      <c r="D446" s="8"/>
      <c r="E446" s="8"/>
      <c r="F446" s="8"/>
      <c r="G446" s="8"/>
      <c r="H446" s="9"/>
      <c r="I446" s="10"/>
    </row>
    <row r="447" spans="2:11" x14ac:dyDescent="0.2">
      <c r="B447" s="11" t="s">
        <v>1</v>
      </c>
      <c r="C447" s="12"/>
      <c r="D447" s="12"/>
      <c r="E447" s="12"/>
      <c r="F447" s="12"/>
      <c r="G447" s="12"/>
      <c r="H447" s="13"/>
      <c r="I447" s="10"/>
    </row>
    <row r="448" spans="2:11" x14ac:dyDescent="0.2">
      <c r="B448" s="11" t="s">
        <v>2</v>
      </c>
      <c r="C448" s="12"/>
      <c r="D448" s="12"/>
      <c r="E448" s="12"/>
      <c r="F448" s="12"/>
      <c r="G448" s="12"/>
      <c r="H448" s="13"/>
      <c r="I448" s="10"/>
    </row>
    <row r="449" spans="2:9" x14ac:dyDescent="0.2">
      <c r="B449" s="14"/>
      <c r="H449" s="15"/>
      <c r="I449" s="10"/>
    </row>
    <row r="450" spans="2:9" x14ac:dyDescent="0.2">
      <c r="B450" s="16" t="s">
        <v>3</v>
      </c>
      <c r="C450" s="17" t="s">
        <v>4</v>
      </c>
      <c r="D450" s="18"/>
      <c r="E450" s="18"/>
      <c r="F450" s="18"/>
      <c r="G450" s="18"/>
      <c r="H450" s="19"/>
      <c r="I450" s="10"/>
    </row>
    <row r="451" spans="2:9" ht="20.399999999999999" x14ac:dyDescent="0.2">
      <c r="B451" s="20" t="s">
        <v>5</v>
      </c>
      <c r="C451" s="21" t="s">
        <v>6</v>
      </c>
      <c r="D451" s="22"/>
      <c r="E451" s="22"/>
      <c r="F451" s="22"/>
      <c r="G451" s="22"/>
      <c r="H451" s="23"/>
      <c r="I451" s="10"/>
    </row>
    <row r="452" spans="2:9" x14ac:dyDescent="0.2">
      <c r="B452" s="20" t="s">
        <v>7</v>
      </c>
      <c r="C452" s="21" t="s">
        <v>8</v>
      </c>
      <c r="D452" s="22"/>
      <c r="E452" s="22"/>
      <c r="F452" s="22"/>
      <c r="G452" s="22"/>
      <c r="H452" s="23"/>
      <c r="I452" s="10"/>
    </row>
    <row r="453" spans="2:9" x14ac:dyDescent="0.2">
      <c r="B453" s="20" t="s">
        <v>9</v>
      </c>
      <c r="C453" s="21" t="s">
        <v>10</v>
      </c>
      <c r="D453" s="22"/>
      <c r="E453" s="22"/>
      <c r="F453" s="22"/>
      <c r="G453" s="22"/>
      <c r="H453" s="23"/>
      <c r="I453" s="10"/>
    </row>
    <row r="454" spans="2:9" x14ac:dyDescent="0.2">
      <c r="B454" s="20" t="s">
        <v>11</v>
      </c>
      <c r="C454" s="24" t="str">
        <f>VLOOKUP(K445,'[1]FORM XIII'!C$14:P670,3,0)</f>
        <v>ANUJ</v>
      </c>
      <c r="D454" s="25"/>
      <c r="E454" s="25"/>
      <c r="F454" s="25"/>
      <c r="G454" s="25"/>
      <c r="H454" s="26"/>
      <c r="I454" s="10"/>
    </row>
    <row r="455" spans="2:9" x14ac:dyDescent="0.2">
      <c r="B455" s="20" t="s">
        <v>12</v>
      </c>
      <c r="C455" s="24">
        <f>VLOOKUP(K445,'[1]FORM XIII'!C$14:P670,2,0)</f>
        <v>72232180</v>
      </c>
      <c r="D455" s="25"/>
      <c r="E455" s="25"/>
      <c r="F455" s="25"/>
      <c r="G455" s="25"/>
      <c r="H455" s="26"/>
      <c r="I455" s="10"/>
    </row>
    <row r="456" spans="2:9" x14ac:dyDescent="0.2">
      <c r="B456" s="20" t="s">
        <v>13</v>
      </c>
      <c r="C456" s="24" t="str">
        <f>VLOOKUP(K445,'[1]FORM XIII'!C$14:P670,8,0)</f>
        <v/>
      </c>
      <c r="D456" s="25"/>
      <c r="E456" s="25"/>
      <c r="F456" s="25"/>
      <c r="G456" s="25"/>
      <c r="H456" s="26"/>
      <c r="I456" s="10"/>
    </row>
    <row r="457" spans="2:9" ht="20.399999999999999" x14ac:dyDescent="0.2">
      <c r="B457" s="20" t="s">
        <v>14</v>
      </c>
      <c r="C457" s="44" t="s">
        <v>15</v>
      </c>
      <c r="D457" s="45"/>
      <c r="E457" s="45"/>
      <c r="F457" s="45"/>
      <c r="G457" s="45"/>
      <c r="H457" s="46"/>
      <c r="I457" s="10"/>
    </row>
    <row r="458" spans="2:9" x14ac:dyDescent="0.2">
      <c r="B458" s="20" t="s">
        <v>16</v>
      </c>
      <c r="C458" s="44" t="s">
        <v>17</v>
      </c>
      <c r="D458" s="45"/>
      <c r="E458" s="45"/>
      <c r="F458" s="45"/>
      <c r="G458" s="45"/>
      <c r="H458" s="46"/>
      <c r="I458" s="10"/>
    </row>
    <row r="459" spans="2:9" x14ac:dyDescent="0.2">
      <c r="B459" s="20" t="s">
        <v>18</v>
      </c>
      <c r="C459" s="47" t="s">
        <v>19</v>
      </c>
      <c r="D459" s="22"/>
      <c r="E459" s="22"/>
      <c r="F459" s="22"/>
      <c r="G459" s="22"/>
      <c r="H459" s="23"/>
      <c r="I459" s="10"/>
    </row>
    <row r="460" spans="2:9" x14ac:dyDescent="0.2">
      <c r="B460" s="30" t="s">
        <v>20</v>
      </c>
      <c r="C460" s="31"/>
      <c r="D460" s="32"/>
      <c r="E460" s="32"/>
      <c r="F460" s="32"/>
      <c r="G460" s="32"/>
      <c r="H460" s="33"/>
      <c r="I460" s="10"/>
    </row>
    <row r="461" spans="2:9" x14ac:dyDescent="0.2">
      <c r="B461" s="34" t="s">
        <v>21</v>
      </c>
      <c r="C461" s="35"/>
      <c r="D461" s="35"/>
      <c r="E461" s="35"/>
      <c r="F461" s="35"/>
      <c r="G461" s="35"/>
      <c r="H461" s="36"/>
      <c r="I461" s="10"/>
    </row>
    <row r="462" spans="2:9" x14ac:dyDescent="0.2">
      <c r="B462" s="37" t="s">
        <v>22</v>
      </c>
      <c r="C462" s="38" t="s">
        <v>23</v>
      </c>
      <c r="D462" s="38"/>
      <c r="E462" s="38"/>
      <c r="F462" s="38"/>
      <c r="G462" s="38"/>
      <c r="H462" s="39"/>
      <c r="I462" s="10"/>
    </row>
    <row r="463" spans="2:9" ht="10.8" thickBot="1" x14ac:dyDescent="0.25">
      <c r="B463" s="40"/>
      <c r="C463" s="41"/>
      <c r="D463" s="41"/>
      <c r="E463" s="41"/>
      <c r="F463" s="41"/>
      <c r="G463" s="41"/>
      <c r="H463" s="41"/>
      <c r="I463" s="42"/>
    </row>
    <row r="464" spans="2:9" ht="10.8" thickTop="1" x14ac:dyDescent="0.2"/>
    <row r="465" spans="2:11" ht="10.8" thickBot="1" x14ac:dyDescent="0.25"/>
    <row r="466" spans="2:11" ht="10.8" thickTop="1" x14ac:dyDescent="0.2">
      <c r="B466" s="4"/>
      <c r="C466" s="4"/>
      <c r="D466" s="4"/>
      <c r="E466" s="4"/>
      <c r="F466" s="4"/>
      <c r="G466" s="4"/>
      <c r="H466" s="4"/>
      <c r="I466" s="5"/>
      <c r="K466" s="2">
        <f>+K445+1</f>
        <v>23</v>
      </c>
    </row>
    <row r="467" spans="2:11" x14ac:dyDescent="0.2">
      <c r="B467" s="7" t="s">
        <v>0</v>
      </c>
      <c r="C467" s="8"/>
      <c r="D467" s="8"/>
      <c r="E467" s="8"/>
      <c r="F467" s="8"/>
      <c r="G467" s="8"/>
      <c r="H467" s="9"/>
      <c r="I467" s="10"/>
    </row>
    <row r="468" spans="2:11" x14ac:dyDescent="0.2">
      <c r="B468" s="11" t="s">
        <v>1</v>
      </c>
      <c r="C468" s="12"/>
      <c r="D468" s="12"/>
      <c r="E468" s="12"/>
      <c r="F468" s="12"/>
      <c r="G468" s="12"/>
      <c r="H468" s="13"/>
      <c r="I468" s="10"/>
    </row>
    <row r="469" spans="2:11" x14ac:dyDescent="0.2">
      <c r="B469" s="11" t="s">
        <v>2</v>
      </c>
      <c r="C469" s="12"/>
      <c r="D469" s="12"/>
      <c r="E469" s="12"/>
      <c r="F469" s="12"/>
      <c r="G469" s="12"/>
      <c r="H469" s="13"/>
      <c r="I469" s="10"/>
    </row>
    <row r="470" spans="2:11" x14ac:dyDescent="0.2">
      <c r="B470" s="14"/>
      <c r="H470" s="15"/>
      <c r="I470" s="10"/>
    </row>
    <row r="471" spans="2:11" x14ac:dyDescent="0.2">
      <c r="B471" s="16" t="s">
        <v>3</v>
      </c>
      <c r="C471" s="17" t="s">
        <v>4</v>
      </c>
      <c r="D471" s="18"/>
      <c r="E471" s="18"/>
      <c r="F471" s="18"/>
      <c r="G471" s="18"/>
      <c r="H471" s="19"/>
      <c r="I471" s="10"/>
    </row>
    <row r="472" spans="2:11" ht="20.399999999999999" x14ac:dyDescent="0.2">
      <c r="B472" s="20" t="s">
        <v>5</v>
      </c>
      <c r="C472" s="21" t="s">
        <v>6</v>
      </c>
      <c r="D472" s="22"/>
      <c r="E472" s="22"/>
      <c r="F472" s="22"/>
      <c r="G472" s="22"/>
      <c r="H472" s="23"/>
      <c r="I472" s="10"/>
    </row>
    <row r="473" spans="2:11" x14ac:dyDescent="0.2">
      <c r="B473" s="20" t="s">
        <v>7</v>
      </c>
      <c r="C473" s="21" t="s">
        <v>8</v>
      </c>
      <c r="D473" s="22"/>
      <c r="E473" s="22"/>
      <c r="F473" s="22"/>
      <c r="G473" s="22"/>
      <c r="H473" s="23"/>
      <c r="I473" s="10"/>
    </row>
    <row r="474" spans="2:11" x14ac:dyDescent="0.2">
      <c r="B474" s="20" t="s">
        <v>9</v>
      </c>
      <c r="C474" s="21" t="s">
        <v>10</v>
      </c>
      <c r="D474" s="22"/>
      <c r="E474" s="22"/>
      <c r="F474" s="22"/>
      <c r="G474" s="22"/>
      <c r="H474" s="23"/>
      <c r="I474" s="10"/>
    </row>
    <row r="475" spans="2:11" x14ac:dyDescent="0.2">
      <c r="B475" s="20" t="s">
        <v>11</v>
      </c>
      <c r="C475" s="24" t="str">
        <f>VLOOKUP(K466,'[1]FORM XIII'!C$14:P691,3,0)</f>
        <v>ANKIT</v>
      </c>
      <c r="D475" s="25"/>
      <c r="E475" s="25"/>
      <c r="F475" s="25"/>
      <c r="G475" s="25"/>
      <c r="H475" s="26"/>
      <c r="I475" s="10"/>
    </row>
    <row r="476" spans="2:11" x14ac:dyDescent="0.2">
      <c r="B476" s="20" t="s">
        <v>12</v>
      </c>
      <c r="C476" s="24">
        <f>VLOOKUP(K466,'[1]FORM XIII'!C$14:P691,2,0)</f>
        <v>72232182</v>
      </c>
      <c r="D476" s="25"/>
      <c r="E476" s="25"/>
      <c r="F476" s="25"/>
      <c r="G476" s="25"/>
      <c r="H476" s="26"/>
      <c r="I476" s="10"/>
    </row>
    <row r="477" spans="2:11" x14ac:dyDescent="0.2">
      <c r="B477" s="20" t="s">
        <v>13</v>
      </c>
      <c r="C477" s="24" t="str">
        <f>VLOOKUP(K466,'[1]FORM XIII'!C$14:P691,8,0)</f>
        <v/>
      </c>
      <c r="D477" s="25"/>
      <c r="E477" s="25"/>
      <c r="F477" s="25"/>
      <c r="G477" s="25"/>
      <c r="H477" s="26"/>
      <c r="I477" s="10"/>
    </row>
    <row r="478" spans="2:11" ht="20.399999999999999" x14ac:dyDescent="0.2">
      <c r="B478" s="20" t="s">
        <v>14</v>
      </c>
      <c r="C478" s="44" t="s">
        <v>15</v>
      </c>
      <c r="D478" s="45"/>
      <c r="E478" s="45"/>
      <c r="F478" s="45"/>
      <c r="G478" s="45"/>
      <c r="H478" s="46"/>
      <c r="I478" s="10"/>
    </row>
    <row r="479" spans="2:11" x14ac:dyDescent="0.2">
      <c r="B479" s="20" t="s">
        <v>16</v>
      </c>
      <c r="C479" s="44" t="s">
        <v>17</v>
      </c>
      <c r="D479" s="45"/>
      <c r="E479" s="45"/>
      <c r="F479" s="45"/>
      <c r="G479" s="45"/>
      <c r="H479" s="46"/>
      <c r="I479" s="10"/>
    </row>
    <row r="480" spans="2:11" x14ac:dyDescent="0.2">
      <c r="B480" s="20" t="s">
        <v>18</v>
      </c>
      <c r="C480" s="47" t="s">
        <v>19</v>
      </c>
      <c r="D480" s="22"/>
      <c r="E480" s="22"/>
      <c r="F480" s="22"/>
      <c r="G480" s="22"/>
      <c r="H480" s="23"/>
      <c r="I480" s="10"/>
    </row>
    <row r="481" spans="2:11" x14ac:dyDescent="0.2">
      <c r="B481" s="30" t="s">
        <v>20</v>
      </c>
      <c r="C481" s="31"/>
      <c r="D481" s="32"/>
      <c r="E481" s="32"/>
      <c r="F481" s="32"/>
      <c r="G481" s="32"/>
      <c r="H481" s="33"/>
      <c r="I481" s="10"/>
    </row>
    <row r="482" spans="2:11" x14ac:dyDescent="0.2">
      <c r="B482" s="34" t="s">
        <v>21</v>
      </c>
      <c r="C482" s="35"/>
      <c r="D482" s="35"/>
      <c r="E482" s="35"/>
      <c r="F482" s="35"/>
      <c r="G482" s="35"/>
      <c r="H482" s="36"/>
      <c r="I482" s="10"/>
    </row>
    <row r="483" spans="2:11" x14ac:dyDescent="0.2">
      <c r="B483" s="37" t="s">
        <v>22</v>
      </c>
      <c r="C483" s="38" t="s">
        <v>23</v>
      </c>
      <c r="D483" s="38"/>
      <c r="E483" s="38"/>
      <c r="F483" s="38"/>
      <c r="G483" s="38"/>
      <c r="H483" s="39"/>
      <c r="I483" s="10"/>
    </row>
    <row r="484" spans="2:11" ht="10.8" thickBot="1" x14ac:dyDescent="0.25">
      <c r="B484" s="40"/>
      <c r="C484" s="41"/>
      <c r="D484" s="41"/>
      <c r="E484" s="41"/>
      <c r="F484" s="41"/>
      <c r="G484" s="41"/>
      <c r="H484" s="41"/>
      <c r="I484" s="42"/>
    </row>
    <row r="485" spans="2:11" ht="10.8" thickTop="1" x14ac:dyDescent="0.2"/>
    <row r="486" spans="2:11" ht="10.8" thickBot="1" x14ac:dyDescent="0.25"/>
    <row r="487" spans="2:11" ht="10.8" thickTop="1" x14ac:dyDescent="0.2">
      <c r="B487" s="4"/>
      <c r="C487" s="4"/>
      <c r="D487" s="4"/>
      <c r="E487" s="4"/>
      <c r="F487" s="4"/>
      <c r="G487" s="4"/>
      <c r="H487" s="4"/>
      <c r="I487" s="5"/>
      <c r="K487" s="2">
        <f>+K466+1</f>
        <v>24</v>
      </c>
    </row>
    <row r="488" spans="2:11" x14ac:dyDescent="0.2">
      <c r="B488" s="7" t="s">
        <v>0</v>
      </c>
      <c r="C488" s="8"/>
      <c r="D488" s="8"/>
      <c r="E488" s="8"/>
      <c r="F488" s="8"/>
      <c r="G488" s="8"/>
      <c r="H488" s="9"/>
      <c r="I488" s="10"/>
    </row>
    <row r="489" spans="2:11" x14ac:dyDescent="0.2">
      <c r="B489" s="11" t="s">
        <v>1</v>
      </c>
      <c r="C489" s="12"/>
      <c r="D489" s="12"/>
      <c r="E489" s="12"/>
      <c r="F489" s="12"/>
      <c r="G489" s="12"/>
      <c r="H489" s="13"/>
      <c r="I489" s="10"/>
    </row>
    <row r="490" spans="2:11" x14ac:dyDescent="0.2">
      <c r="B490" s="11" t="s">
        <v>2</v>
      </c>
      <c r="C490" s="12"/>
      <c r="D490" s="12"/>
      <c r="E490" s="12"/>
      <c r="F490" s="12"/>
      <c r="G490" s="12"/>
      <c r="H490" s="13"/>
      <c r="I490" s="10"/>
    </row>
    <row r="491" spans="2:11" x14ac:dyDescent="0.2">
      <c r="B491" s="14"/>
      <c r="H491" s="15"/>
      <c r="I491" s="10"/>
    </row>
    <row r="492" spans="2:11" x14ac:dyDescent="0.2">
      <c r="B492" s="16" t="s">
        <v>3</v>
      </c>
      <c r="C492" s="17" t="s">
        <v>4</v>
      </c>
      <c r="D492" s="18"/>
      <c r="E492" s="18"/>
      <c r="F492" s="18"/>
      <c r="G492" s="18"/>
      <c r="H492" s="19"/>
      <c r="I492" s="10"/>
    </row>
    <row r="493" spans="2:11" ht="20.399999999999999" x14ac:dyDescent="0.2">
      <c r="B493" s="20" t="s">
        <v>5</v>
      </c>
      <c r="C493" s="21" t="s">
        <v>6</v>
      </c>
      <c r="D493" s="22"/>
      <c r="E493" s="22"/>
      <c r="F493" s="22"/>
      <c r="G493" s="22"/>
      <c r="H493" s="23"/>
      <c r="I493" s="10"/>
    </row>
    <row r="494" spans="2:11" x14ac:dyDescent="0.2">
      <c r="B494" s="20" t="s">
        <v>7</v>
      </c>
      <c r="C494" s="21" t="s">
        <v>8</v>
      </c>
      <c r="D494" s="22"/>
      <c r="E494" s="22"/>
      <c r="F494" s="22"/>
      <c r="G494" s="22"/>
      <c r="H494" s="23"/>
      <c r="I494" s="10"/>
    </row>
    <row r="495" spans="2:11" x14ac:dyDescent="0.2">
      <c r="B495" s="20" t="s">
        <v>9</v>
      </c>
      <c r="C495" s="21" t="s">
        <v>10</v>
      </c>
      <c r="D495" s="22"/>
      <c r="E495" s="22"/>
      <c r="F495" s="22"/>
      <c r="G495" s="22"/>
      <c r="H495" s="23"/>
      <c r="I495" s="10"/>
    </row>
    <row r="496" spans="2:11" x14ac:dyDescent="0.2">
      <c r="B496" s="20" t="s">
        <v>11</v>
      </c>
      <c r="C496" s="24" t="str">
        <f>VLOOKUP(K487,'[1]FORM XIII'!C$14:P712,3,0)</f>
        <v>VIRENDRA</v>
      </c>
      <c r="D496" s="25"/>
      <c r="E496" s="25"/>
      <c r="F496" s="25"/>
      <c r="G496" s="25"/>
      <c r="H496" s="26"/>
      <c r="I496" s="10"/>
    </row>
    <row r="497" spans="2:11" x14ac:dyDescent="0.2">
      <c r="B497" s="20" t="s">
        <v>12</v>
      </c>
      <c r="C497" s="24">
        <f>VLOOKUP(K487,'[1]FORM XIII'!C$14:P712,2,0)</f>
        <v>72232190</v>
      </c>
      <c r="D497" s="25"/>
      <c r="E497" s="25"/>
      <c r="F497" s="25"/>
      <c r="G497" s="25"/>
      <c r="H497" s="26"/>
      <c r="I497" s="10"/>
    </row>
    <row r="498" spans="2:11" x14ac:dyDescent="0.2">
      <c r="B498" s="20" t="s">
        <v>13</v>
      </c>
      <c r="C498" s="24" t="str">
        <f>VLOOKUP(K487,'[1]FORM XIII'!C$14:P712,8,0)</f>
        <v>HELPER</v>
      </c>
      <c r="D498" s="25"/>
      <c r="E498" s="25"/>
      <c r="F498" s="25"/>
      <c r="G498" s="25"/>
      <c r="H498" s="26"/>
      <c r="I498" s="10"/>
    </row>
    <row r="499" spans="2:11" ht="20.399999999999999" x14ac:dyDescent="0.2">
      <c r="B499" s="20" t="s">
        <v>14</v>
      </c>
      <c r="C499" s="44" t="s">
        <v>15</v>
      </c>
      <c r="D499" s="45"/>
      <c r="E499" s="45"/>
      <c r="F499" s="45"/>
      <c r="G499" s="45"/>
      <c r="H499" s="46"/>
      <c r="I499" s="10"/>
    </row>
    <row r="500" spans="2:11" x14ac:dyDescent="0.2">
      <c r="B500" s="20" t="s">
        <v>16</v>
      </c>
      <c r="C500" s="44" t="s">
        <v>17</v>
      </c>
      <c r="D500" s="45"/>
      <c r="E500" s="45"/>
      <c r="F500" s="45"/>
      <c r="G500" s="45"/>
      <c r="H500" s="46"/>
      <c r="I500" s="10"/>
    </row>
    <row r="501" spans="2:11" x14ac:dyDescent="0.2">
      <c r="B501" s="20" t="s">
        <v>18</v>
      </c>
      <c r="C501" s="47" t="s">
        <v>19</v>
      </c>
      <c r="D501" s="22"/>
      <c r="E501" s="22"/>
      <c r="F501" s="22"/>
      <c r="G501" s="22"/>
      <c r="H501" s="23"/>
      <c r="I501" s="10"/>
    </row>
    <row r="502" spans="2:11" x14ac:dyDescent="0.2">
      <c r="B502" s="30" t="s">
        <v>20</v>
      </c>
      <c r="C502" s="31"/>
      <c r="D502" s="32"/>
      <c r="E502" s="32"/>
      <c r="F502" s="32"/>
      <c r="G502" s="32"/>
      <c r="H502" s="33"/>
      <c r="I502" s="10"/>
    </row>
    <row r="503" spans="2:11" x14ac:dyDescent="0.2">
      <c r="B503" s="34" t="s">
        <v>21</v>
      </c>
      <c r="C503" s="35"/>
      <c r="D503" s="35"/>
      <c r="E503" s="35"/>
      <c r="F503" s="35"/>
      <c r="G503" s="35"/>
      <c r="H503" s="36"/>
      <c r="I503" s="10"/>
    </row>
    <row r="504" spans="2:11" x14ac:dyDescent="0.2">
      <c r="B504" s="37" t="s">
        <v>22</v>
      </c>
      <c r="C504" s="38" t="s">
        <v>23</v>
      </c>
      <c r="D504" s="38"/>
      <c r="E504" s="38"/>
      <c r="F504" s="38"/>
      <c r="G504" s="38"/>
      <c r="H504" s="39"/>
      <c r="I504" s="10"/>
    </row>
    <row r="505" spans="2:11" ht="10.8" thickBot="1" x14ac:dyDescent="0.25">
      <c r="B505" s="40"/>
      <c r="C505" s="41"/>
      <c r="D505" s="41"/>
      <c r="E505" s="41"/>
      <c r="F505" s="41"/>
      <c r="G505" s="41"/>
      <c r="H505" s="41"/>
      <c r="I505" s="42"/>
    </row>
    <row r="506" spans="2:11" ht="10.8" thickTop="1" x14ac:dyDescent="0.2"/>
    <row r="507" spans="2:11" ht="10.8" thickBot="1" x14ac:dyDescent="0.25"/>
    <row r="508" spans="2:11" ht="10.8" thickTop="1" x14ac:dyDescent="0.2">
      <c r="B508" s="4"/>
      <c r="C508" s="4"/>
      <c r="D508" s="4"/>
      <c r="E508" s="4"/>
      <c r="F508" s="4"/>
      <c r="G508" s="4"/>
      <c r="H508" s="4"/>
      <c r="I508" s="5"/>
      <c r="K508" s="2">
        <f>+K487+1</f>
        <v>25</v>
      </c>
    </row>
    <row r="509" spans="2:11" x14ac:dyDescent="0.2">
      <c r="B509" s="7" t="s">
        <v>0</v>
      </c>
      <c r="C509" s="8"/>
      <c r="D509" s="8"/>
      <c r="E509" s="8"/>
      <c r="F509" s="8"/>
      <c r="G509" s="8"/>
      <c r="H509" s="9"/>
      <c r="I509" s="10"/>
    </row>
    <row r="510" spans="2:11" x14ac:dyDescent="0.2">
      <c r="B510" s="11" t="s">
        <v>1</v>
      </c>
      <c r="C510" s="12"/>
      <c r="D510" s="12"/>
      <c r="E510" s="12"/>
      <c r="F510" s="12"/>
      <c r="G510" s="12"/>
      <c r="H510" s="13"/>
      <c r="I510" s="10"/>
    </row>
    <row r="511" spans="2:11" x14ac:dyDescent="0.2">
      <c r="B511" s="11" t="s">
        <v>2</v>
      </c>
      <c r="C511" s="12"/>
      <c r="D511" s="12"/>
      <c r="E511" s="12"/>
      <c r="F511" s="12"/>
      <c r="G511" s="12"/>
      <c r="H511" s="13"/>
      <c r="I511" s="10"/>
    </row>
    <row r="512" spans="2:11" x14ac:dyDescent="0.2">
      <c r="B512" s="14"/>
      <c r="H512" s="15"/>
      <c r="I512" s="10"/>
    </row>
    <row r="513" spans="2:9" x14ac:dyDescent="0.2">
      <c r="B513" s="16" t="s">
        <v>3</v>
      </c>
      <c r="C513" s="17" t="s">
        <v>4</v>
      </c>
      <c r="D513" s="18"/>
      <c r="E513" s="18"/>
      <c r="F513" s="18"/>
      <c r="G513" s="18"/>
      <c r="H513" s="19"/>
      <c r="I513" s="10"/>
    </row>
    <row r="514" spans="2:9" ht="20.399999999999999" x14ac:dyDescent="0.2">
      <c r="B514" s="20" t="s">
        <v>5</v>
      </c>
      <c r="C514" s="21" t="s">
        <v>6</v>
      </c>
      <c r="D514" s="22"/>
      <c r="E514" s="22"/>
      <c r="F514" s="22"/>
      <c r="G514" s="22"/>
      <c r="H514" s="23"/>
      <c r="I514" s="10"/>
    </row>
    <row r="515" spans="2:9" x14ac:dyDescent="0.2">
      <c r="B515" s="20" t="s">
        <v>7</v>
      </c>
      <c r="C515" s="21" t="s">
        <v>8</v>
      </c>
      <c r="D515" s="22"/>
      <c r="E515" s="22"/>
      <c r="F515" s="22"/>
      <c r="G515" s="22"/>
      <c r="H515" s="23"/>
      <c r="I515" s="10"/>
    </row>
    <row r="516" spans="2:9" x14ac:dyDescent="0.2">
      <c r="B516" s="20" t="s">
        <v>9</v>
      </c>
      <c r="C516" s="21" t="s">
        <v>10</v>
      </c>
      <c r="D516" s="22"/>
      <c r="E516" s="22"/>
      <c r="F516" s="22"/>
      <c r="G516" s="22"/>
      <c r="H516" s="23"/>
      <c r="I516" s="10"/>
    </row>
    <row r="517" spans="2:9" x14ac:dyDescent="0.2">
      <c r="B517" s="20" t="s">
        <v>11</v>
      </c>
      <c r="C517" s="24" t="str">
        <f>VLOOKUP(K508,'[1]FORM XIII'!C$14:P733,3,0)</f>
        <v>ANKIT NAUTIYAL</v>
      </c>
      <c r="D517" s="25"/>
      <c r="E517" s="25"/>
      <c r="F517" s="25"/>
      <c r="G517" s="25"/>
      <c r="H517" s="26"/>
      <c r="I517" s="10"/>
    </row>
    <row r="518" spans="2:9" x14ac:dyDescent="0.2">
      <c r="B518" s="20" t="s">
        <v>12</v>
      </c>
      <c r="C518" s="24">
        <f>VLOOKUP(K508,'[1]FORM XIII'!C$14:P733,2,0)</f>
        <v>72232192</v>
      </c>
      <c r="D518" s="25"/>
      <c r="E518" s="25"/>
      <c r="F518" s="25"/>
      <c r="G518" s="25"/>
      <c r="H518" s="26"/>
      <c r="I518" s="10"/>
    </row>
    <row r="519" spans="2:9" x14ac:dyDescent="0.2">
      <c r="B519" s="20" t="s">
        <v>13</v>
      </c>
      <c r="C519" s="24" t="str">
        <f>VLOOKUP(K508,'[1]FORM XIII'!C$14:P733,8,0)</f>
        <v>HELPER</v>
      </c>
      <c r="D519" s="25"/>
      <c r="E519" s="25"/>
      <c r="F519" s="25"/>
      <c r="G519" s="25"/>
      <c r="H519" s="26"/>
      <c r="I519" s="10"/>
    </row>
    <row r="520" spans="2:9" ht="20.399999999999999" x14ac:dyDescent="0.2">
      <c r="B520" s="20" t="s">
        <v>14</v>
      </c>
      <c r="C520" s="44" t="s">
        <v>15</v>
      </c>
      <c r="D520" s="45"/>
      <c r="E520" s="45"/>
      <c r="F520" s="45"/>
      <c r="G520" s="45"/>
      <c r="H520" s="46"/>
      <c r="I520" s="10"/>
    </row>
    <row r="521" spans="2:9" x14ac:dyDescent="0.2">
      <c r="B521" s="20" t="s">
        <v>16</v>
      </c>
      <c r="C521" s="44" t="s">
        <v>17</v>
      </c>
      <c r="D521" s="45"/>
      <c r="E521" s="45"/>
      <c r="F521" s="45"/>
      <c r="G521" s="45"/>
      <c r="H521" s="46"/>
      <c r="I521" s="10"/>
    </row>
    <row r="522" spans="2:9" x14ac:dyDescent="0.2">
      <c r="B522" s="20" t="s">
        <v>18</v>
      </c>
      <c r="C522" s="47" t="s">
        <v>19</v>
      </c>
      <c r="D522" s="22"/>
      <c r="E522" s="22"/>
      <c r="F522" s="22"/>
      <c r="G522" s="22"/>
      <c r="H522" s="23"/>
      <c r="I522" s="10"/>
    </row>
    <row r="523" spans="2:9" x14ac:dyDescent="0.2">
      <c r="B523" s="30" t="s">
        <v>20</v>
      </c>
      <c r="C523" s="31"/>
      <c r="D523" s="32"/>
      <c r="E523" s="32"/>
      <c r="F523" s="32"/>
      <c r="G523" s="32"/>
      <c r="H523" s="33"/>
      <c r="I523" s="10"/>
    </row>
    <row r="524" spans="2:9" x14ac:dyDescent="0.2">
      <c r="B524" s="34" t="s">
        <v>21</v>
      </c>
      <c r="C524" s="35"/>
      <c r="D524" s="35"/>
      <c r="E524" s="35"/>
      <c r="F524" s="35"/>
      <c r="G524" s="35"/>
      <c r="H524" s="36"/>
      <c r="I524" s="10"/>
    </row>
    <row r="525" spans="2:9" x14ac:dyDescent="0.2">
      <c r="B525" s="37" t="s">
        <v>22</v>
      </c>
      <c r="C525" s="38" t="s">
        <v>23</v>
      </c>
      <c r="D525" s="38"/>
      <c r="E525" s="38"/>
      <c r="F525" s="38"/>
      <c r="G525" s="38"/>
      <c r="H525" s="39"/>
      <c r="I525" s="10"/>
    </row>
    <row r="526" spans="2:9" ht="10.8" thickBot="1" x14ac:dyDescent="0.25">
      <c r="B526" s="40"/>
      <c r="C526" s="41"/>
      <c r="D526" s="41"/>
      <c r="E526" s="41"/>
      <c r="F526" s="41"/>
      <c r="G526" s="41"/>
      <c r="H526" s="41"/>
      <c r="I526" s="42"/>
    </row>
    <row r="527" spans="2:9" ht="10.8" thickTop="1" x14ac:dyDescent="0.2"/>
    <row r="528" spans="2:9" ht="10.8" thickBot="1" x14ac:dyDescent="0.25"/>
    <row r="529" spans="2:11" ht="10.8" thickTop="1" x14ac:dyDescent="0.2">
      <c r="B529" s="4"/>
      <c r="C529" s="4"/>
      <c r="D529" s="4"/>
      <c r="E529" s="4"/>
      <c r="F529" s="4"/>
      <c r="G529" s="4"/>
      <c r="H529" s="4"/>
      <c r="I529" s="5"/>
      <c r="K529" s="2">
        <f>+K508+1</f>
        <v>26</v>
      </c>
    </row>
    <row r="530" spans="2:11" x14ac:dyDescent="0.2">
      <c r="B530" s="7" t="s">
        <v>0</v>
      </c>
      <c r="C530" s="8"/>
      <c r="D530" s="8"/>
      <c r="E530" s="8"/>
      <c r="F530" s="8"/>
      <c r="G530" s="8"/>
      <c r="H530" s="9"/>
      <c r="I530" s="10"/>
    </row>
    <row r="531" spans="2:11" x14ac:dyDescent="0.2">
      <c r="B531" s="11" t="s">
        <v>1</v>
      </c>
      <c r="C531" s="12"/>
      <c r="D531" s="12"/>
      <c r="E531" s="12"/>
      <c r="F531" s="12"/>
      <c r="G531" s="12"/>
      <c r="H531" s="13"/>
      <c r="I531" s="10"/>
    </row>
    <row r="532" spans="2:11" x14ac:dyDescent="0.2">
      <c r="B532" s="11" t="s">
        <v>2</v>
      </c>
      <c r="C532" s="12"/>
      <c r="D532" s="12"/>
      <c r="E532" s="12"/>
      <c r="F532" s="12"/>
      <c r="G532" s="12"/>
      <c r="H532" s="13"/>
      <c r="I532" s="10"/>
    </row>
    <row r="533" spans="2:11" x14ac:dyDescent="0.2">
      <c r="B533" s="14"/>
      <c r="H533" s="15"/>
      <c r="I533" s="10"/>
    </row>
    <row r="534" spans="2:11" x14ac:dyDescent="0.2">
      <c r="B534" s="16" t="s">
        <v>3</v>
      </c>
      <c r="C534" s="17" t="s">
        <v>4</v>
      </c>
      <c r="D534" s="18"/>
      <c r="E534" s="18"/>
      <c r="F534" s="18"/>
      <c r="G534" s="18"/>
      <c r="H534" s="19"/>
      <c r="I534" s="10"/>
    </row>
    <row r="535" spans="2:11" ht="20.399999999999999" x14ac:dyDescent="0.2">
      <c r="B535" s="20" t="s">
        <v>5</v>
      </c>
      <c r="C535" s="21" t="s">
        <v>6</v>
      </c>
      <c r="D535" s="22"/>
      <c r="E535" s="22"/>
      <c r="F535" s="22"/>
      <c r="G535" s="22"/>
      <c r="H535" s="23"/>
      <c r="I535" s="10"/>
    </row>
    <row r="536" spans="2:11" x14ac:dyDescent="0.2">
      <c r="B536" s="20" t="s">
        <v>7</v>
      </c>
      <c r="C536" s="21" t="s">
        <v>8</v>
      </c>
      <c r="D536" s="22"/>
      <c r="E536" s="22"/>
      <c r="F536" s="22"/>
      <c r="G536" s="22"/>
      <c r="H536" s="23"/>
      <c r="I536" s="10"/>
    </row>
    <row r="537" spans="2:11" x14ac:dyDescent="0.2">
      <c r="B537" s="20" t="s">
        <v>9</v>
      </c>
      <c r="C537" s="21" t="s">
        <v>10</v>
      </c>
      <c r="D537" s="22"/>
      <c r="E537" s="22"/>
      <c r="F537" s="22"/>
      <c r="G537" s="22"/>
      <c r="H537" s="23"/>
      <c r="I537" s="10"/>
    </row>
    <row r="538" spans="2:11" x14ac:dyDescent="0.2">
      <c r="B538" s="20" t="s">
        <v>11</v>
      </c>
      <c r="C538" s="24" t="str">
        <f>VLOOKUP(K529,'[1]FORM XIII'!C$14:P754,3,0)</f>
        <v>SACHIN KUMAR</v>
      </c>
      <c r="D538" s="25"/>
      <c r="E538" s="25"/>
      <c r="F538" s="25"/>
      <c r="G538" s="25"/>
      <c r="H538" s="26"/>
      <c r="I538" s="10"/>
    </row>
    <row r="539" spans="2:11" x14ac:dyDescent="0.2">
      <c r="B539" s="20" t="s">
        <v>12</v>
      </c>
      <c r="C539" s="24">
        <f>VLOOKUP(K529,'[1]FORM XIII'!C$14:P754,2,0)</f>
        <v>72232195</v>
      </c>
      <c r="D539" s="25"/>
      <c r="E539" s="25"/>
      <c r="F539" s="25"/>
      <c r="G539" s="25"/>
      <c r="H539" s="26"/>
      <c r="I539" s="10"/>
    </row>
    <row r="540" spans="2:11" x14ac:dyDescent="0.2">
      <c r="B540" s="20" t="s">
        <v>13</v>
      </c>
      <c r="C540" s="24" t="str">
        <f>VLOOKUP(K529,'[1]FORM XIII'!C$14:P754,8,0)</f>
        <v/>
      </c>
      <c r="D540" s="25"/>
      <c r="E540" s="25"/>
      <c r="F540" s="25"/>
      <c r="G540" s="25"/>
      <c r="H540" s="26"/>
      <c r="I540" s="10"/>
    </row>
    <row r="541" spans="2:11" ht="20.399999999999999" x14ac:dyDescent="0.2">
      <c r="B541" s="20" t="s">
        <v>14</v>
      </c>
      <c r="C541" s="44" t="s">
        <v>15</v>
      </c>
      <c r="D541" s="45"/>
      <c r="E541" s="45"/>
      <c r="F541" s="45"/>
      <c r="G541" s="45"/>
      <c r="H541" s="46"/>
      <c r="I541" s="10"/>
    </row>
    <row r="542" spans="2:11" x14ac:dyDescent="0.2">
      <c r="B542" s="20" t="s">
        <v>16</v>
      </c>
      <c r="C542" s="44" t="s">
        <v>17</v>
      </c>
      <c r="D542" s="45"/>
      <c r="E542" s="45"/>
      <c r="F542" s="45"/>
      <c r="G542" s="45"/>
      <c r="H542" s="46"/>
      <c r="I542" s="10"/>
    </row>
    <row r="543" spans="2:11" x14ac:dyDescent="0.2">
      <c r="B543" s="20" t="s">
        <v>18</v>
      </c>
      <c r="C543" s="47" t="s">
        <v>19</v>
      </c>
      <c r="D543" s="22"/>
      <c r="E543" s="22"/>
      <c r="F543" s="22"/>
      <c r="G543" s="22"/>
      <c r="H543" s="23"/>
      <c r="I543" s="10"/>
    </row>
    <row r="544" spans="2:11" x14ac:dyDescent="0.2">
      <c r="B544" s="30" t="s">
        <v>20</v>
      </c>
      <c r="C544" s="31"/>
      <c r="D544" s="32"/>
      <c r="E544" s="32"/>
      <c r="F544" s="32"/>
      <c r="G544" s="32"/>
      <c r="H544" s="33"/>
      <c r="I544" s="10"/>
    </row>
    <row r="545" spans="2:11" x14ac:dyDescent="0.2">
      <c r="B545" s="34" t="s">
        <v>21</v>
      </c>
      <c r="C545" s="35"/>
      <c r="D545" s="35"/>
      <c r="E545" s="35"/>
      <c r="F545" s="35"/>
      <c r="G545" s="35"/>
      <c r="H545" s="36"/>
      <c r="I545" s="10"/>
    </row>
    <row r="546" spans="2:11" x14ac:dyDescent="0.2">
      <c r="B546" s="37" t="s">
        <v>22</v>
      </c>
      <c r="C546" s="38" t="s">
        <v>23</v>
      </c>
      <c r="D546" s="38"/>
      <c r="E546" s="38"/>
      <c r="F546" s="38"/>
      <c r="G546" s="38"/>
      <c r="H546" s="39"/>
      <c r="I546" s="10"/>
    </row>
    <row r="547" spans="2:11" ht="10.8" thickBot="1" x14ac:dyDescent="0.25">
      <c r="B547" s="40"/>
      <c r="C547" s="41"/>
      <c r="D547" s="41"/>
      <c r="E547" s="41"/>
      <c r="F547" s="41"/>
      <c r="G547" s="41"/>
      <c r="H547" s="41"/>
      <c r="I547" s="42"/>
    </row>
    <row r="548" spans="2:11" ht="10.8" thickTop="1" x14ac:dyDescent="0.2"/>
    <row r="549" spans="2:11" ht="10.8" thickBot="1" x14ac:dyDescent="0.25"/>
    <row r="550" spans="2:11" ht="10.8" thickTop="1" x14ac:dyDescent="0.2">
      <c r="B550" s="4"/>
      <c r="C550" s="4"/>
      <c r="D550" s="4"/>
      <c r="E550" s="4"/>
      <c r="F550" s="4"/>
      <c r="G550" s="4"/>
      <c r="H550" s="4"/>
      <c r="I550" s="5"/>
      <c r="K550" s="2">
        <f>+K529+1</f>
        <v>27</v>
      </c>
    </row>
    <row r="551" spans="2:11" x14ac:dyDescent="0.2">
      <c r="B551" s="7" t="s">
        <v>0</v>
      </c>
      <c r="C551" s="8"/>
      <c r="D551" s="8"/>
      <c r="E551" s="8"/>
      <c r="F551" s="8"/>
      <c r="G551" s="8"/>
      <c r="H551" s="9"/>
      <c r="I551" s="10"/>
    </row>
    <row r="552" spans="2:11" x14ac:dyDescent="0.2">
      <c r="B552" s="11" t="s">
        <v>1</v>
      </c>
      <c r="C552" s="12"/>
      <c r="D552" s="12"/>
      <c r="E552" s="12"/>
      <c r="F552" s="12"/>
      <c r="G552" s="12"/>
      <c r="H552" s="13"/>
      <c r="I552" s="10"/>
    </row>
    <row r="553" spans="2:11" x14ac:dyDescent="0.2">
      <c r="B553" s="11" t="s">
        <v>2</v>
      </c>
      <c r="C553" s="12"/>
      <c r="D553" s="12"/>
      <c r="E553" s="12"/>
      <c r="F553" s="12"/>
      <c r="G553" s="12"/>
      <c r="H553" s="13"/>
      <c r="I553" s="10"/>
    </row>
    <row r="554" spans="2:11" x14ac:dyDescent="0.2">
      <c r="B554" s="14"/>
      <c r="H554" s="15"/>
      <c r="I554" s="10"/>
    </row>
    <row r="555" spans="2:11" x14ac:dyDescent="0.2">
      <c r="B555" s="16" t="s">
        <v>3</v>
      </c>
      <c r="C555" s="17" t="s">
        <v>4</v>
      </c>
      <c r="D555" s="18"/>
      <c r="E555" s="18"/>
      <c r="F555" s="18"/>
      <c r="G555" s="18"/>
      <c r="H555" s="19"/>
      <c r="I555" s="10"/>
    </row>
    <row r="556" spans="2:11" ht="20.399999999999999" x14ac:dyDescent="0.2">
      <c r="B556" s="20" t="s">
        <v>5</v>
      </c>
      <c r="C556" s="21" t="s">
        <v>6</v>
      </c>
      <c r="D556" s="22"/>
      <c r="E556" s="22"/>
      <c r="F556" s="22"/>
      <c r="G556" s="22"/>
      <c r="H556" s="23"/>
      <c r="I556" s="10"/>
    </row>
    <row r="557" spans="2:11" x14ac:dyDescent="0.2">
      <c r="B557" s="20" t="s">
        <v>7</v>
      </c>
      <c r="C557" s="21" t="s">
        <v>8</v>
      </c>
      <c r="D557" s="22"/>
      <c r="E557" s="22"/>
      <c r="F557" s="22"/>
      <c r="G557" s="22"/>
      <c r="H557" s="23"/>
      <c r="I557" s="10"/>
    </row>
    <row r="558" spans="2:11" x14ac:dyDescent="0.2">
      <c r="B558" s="20" t="s">
        <v>9</v>
      </c>
      <c r="C558" s="21" t="s">
        <v>10</v>
      </c>
      <c r="D558" s="22"/>
      <c r="E558" s="22"/>
      <c r="F558" s="22"/>
      <c r="G558" s="22"/>
      <c r="H558" s="23"/>
      <c r="I558" s="10"/>
    </row>
    <row r="559" spans="2:11" x14ac:dyDescent="0.2">
      <c r="B559" s="20" t="s">
        <v>11</v>
      </c>
      <c r="C559" s="24" t="str">
        <f>VLOOKUP(K550,'[1]FORM XIII'!C$14:P775,3,0)</f>
        <v>ANKIT</v>
      </c>
      <c r="D559" s="25"/>
      <c r="E559" s="25"/>
      <c r="F559" s="25"/>
      <c r="G559" s="25"/>
      <c r="H559" s="26"/>
      <c r="I559" s="10"/>
    </row>
    <row r="560" spans="2:11" x14ac:dyDescent="0.2">
      <c r="B560" s="20" t="s">
        <v>12</v>
      </c>
      <c r="C560" s="24">
        <f>VLOOKUP(K550,'[1]FORM XIII'!C$14:P775,2,0)</f>
        <v>72232196</v>
      </c>
      <c r="D560" s="25"/>
      <c r="E560" s="25"/>
      <c r="F560" s="25"/>
      <c r="G560" s="25"/>
      <c r="H560" s="26"/>
      <c r="I560" s="10"/>
    </row>
    <row r="561" spans="2:11" x14ac:dyDescent="0.2">
      <c r="B561" s="20" t="s">
        <v>13</v>
      </c>
      <c r="C561" s="24" t="str">
        <f>VLOOKUP(K550,'[1]FORM XIII'!C$14:P775,8,0)</f>
        <v>HELPER</v>
      </c>
      <c r="D561" s="25"/>
      <c r="E561" s="25"/>
      <c r="F561" s="25"/>
      <c r="G561" s="25"/>
      <c r="H561" s="26"/>
      <c r="I561" s="10"/>
    </row>
    <row r="562" spans="2:11" ht="20.399999999999999" x14ac:dyDescent="0.2">
      <c r="B562" s="20" t="s">
        <v>14</v>
      </c>
      <c r="C562" s="44" t="s">
        <v>15</v>
      </c>
      <c r="D562" s="45"/>
      <c r="E562" s="45"/>
      <c r="F562" s="45"/>
      <c r="G562" s="45"/>
      <c r="H562" s="46"/>
      <c r="I562" s="10"/>
    </row>
    <row r="563" spans="2:11" x14ac:dyDescent="0.2">
      <c r="B563" s="20" t="s">
        <v>16</v>
      </c>
      <c r="C563" s="44" t="s">
        <v>17</v>
      </c>
      <c r="D563" s="45"/>
      <c r="E563" s="45"/>
      <c r="F563" s="45"/>
      <c r="G563" s="45"/>
      <c r="H563" s="46"/>
      <c r="I563" s="10"/>
    </row>
    <row r="564" spans="2:11" x14ac:dyDescent="0.2">
      <c r="B564" s="20" t="s">
        <v>18</v>
      </c>
      <c r="C564" s="47" t="s">
        <v>19</v>
      </c>
      <c r="D564" s="22"/>
      <c r="E564" s="22"/>
      <c r="F564" s="22"/>
      <c r="G564" s="22"/>
      <c r="H564" s="23"/>
      <c r="I564" s="10"/>
    </row>
    <row r="565" spans="2:11" x14ac:dyDescent="0.2">
      <c r="B565" s="30" t="s">
        <v>20</v>
      </c>
      <c r="C565" s="31"/>
      <c r="D565" s="32"/>
      <c r="E565" s="32"/>
      <c r="F565" s="32"/>
      <c r="G565" s="32"/>
      <c r="H565" s="33"/>
      <c r="I565" s="10"/>
    </row>
    <row r="566" spans="2:11" x14ac:dyDescent="0.2">
      <c r="B566" s="34" t="s">
        <v>21</v>
      </c>
      <c r="C566" s="35"/>
      <c r="D566" s="35"/>
      <c r="E566" s="35"/>
      <c r="F566" s="35"/>
      <c r="G566" s="35"/>
      <c r="H566" s="36"/>
      <c r="I566" s="10"/>
    </row>
    <row r="567" spans="2:11" x14ac:dyDescent="0.2">
      <c r="B567" s="37" t="s">
        <v>22</v>
      </c>
      <c r="C567" s="38" t="s">
        <v>23</v>
      </c>
      <c r="D567" s="38"/>
      <c r="E567" s="38"/>
      <c r="F567" s="38"/>
      <c r="G567" s="38"/>
      <c r="H567" s="39"/>
      <c r="I567" s="10"/>
    </row>
    <row r="568" spans="2:11" ht="10.8" thickBot="1" x14ac:dyDescent="0.25">
      <c r="B568" s="40"/>
      <c r="C568" s="41"/>
      <c r="D568" s="41"/>
      <c r="E568" s="41"/>
      <c r="F568" s="41"/>
      <c r="G568" s="41"/>
      <c r="H568" s="41"/>
      <c r="I568" s="42"/>
    </row>
    <row r="569" spans="2:11" ht="10.8" thickTop="1" x14ac:dyDescent="0.2"/>
    <row r="570" spans="2:11" ht="10.8" thickBot="1" x14ac:dyDescent="0.25"/>
    <row r="571" spans="2:11" ht="10.8" thickTop="1" x14ac:dyDescent="0.2">
      <c r="B571" s="4"/>
      <c r="C571" s="4"/>
      <c r="D571" s="4"/>
      <c r="E571" s="4"/>
      <c r="F571" s="4"/>
      <c r="G571" s="4"/>
      <c r="H571" s="4"/>
      <c r="I571" s="5"/>
      <c r="K571" s="2">
        <f>+K550+1</f>
        <v>28</v>
      </c>
    </row>
    <row r="572" spans="2:11" x14ac:dyDescent="0.2">
      <c r="B572" s="7" t="s">
        <v>0</v>
      </c>
      <c r="C572" s="8"/>
      <c r="D572" s="8"/>
      <c r="E572" s="8"/>
      <c r="F572" s="8"/>
      <c r="G572" s="8"/>
      <c r="H572" s="9"/>
      <c r="I572" s="10"/>
    </row>
    <row r="573" spans="2:11" x14ac:dyDescent="0.2">
      <c r="B573" s="11" t="s">
        <v>1</v>
      </c>
      <c r="C573" s="12"/>
      <c r="D573" s="12"/>
      <c r="E573" s="12"/>
      <c r="F573" s="12"/>
      <c r="G573" s="12"/>
      <c r="H573" s="13"/>
      <c r="I573" s="10"/>
    </row>
    <row r="574" spans="2:11" x14ac:dyDescent="0.2">
      <c r="B574" s="11" t="s">
        <v>2</v>
      </c>
      <c r="C574" s="12"/>
      <c r="D574" s="12"/>
      <c r="E574" s="12"/>
      <c r="F574" s="12"/>
      <c r="G574" s="12"/>
      <c r="H574" s="13"/>
      <c r="I574" s="10"/>
    </row>
    <row r="575" spans="2:11" x14ac:dyDescent="0.2">
      <c r="B575" s="14"/>
      <c r="H575" s="15"/>
      <c r="I575" s="10"/>
    </row>
    <row r="576" spans="2:11" x14ac:dyDescent="0.2">
      <c r="B576" s="16" t="s">
        <v>3</v>
      </c>
      <c r="C576" s="17" t="s">
        <v>4</v>
      </c>
      <c r="D576" s="18"/>
      <c r="E576" s="18"/>
      <c r="F576" s="18"/>
      <c r="G576" s="18"/>
      <c r="H576" s="19"/>
      <c r="I576" s="10"/>
    </row>
    <row r="577" spans="2:11" ht="20.399999999999999" x14ac:dyDescent="0.2">
      <c r="B577" s="20" t="s">
        <v>5</v>
      </c>
      <c r="C577" s="21" t="s">
        <v>6</v>
      </c>
      <c r="D577" s="22"/>
      <c r="E577" s="22"/>
      <c r="F577" s="22"/>
      <c r="G577" s="22"/>
      <c r="H577" s="23"/>
      <c r="I577" s="10"/>
    </row>
    <row r="578" spans="2:11" x14ac:dyDescent="0.2">
      <c r="B578" s="20" t="s">
        <v>7</v>
      </c>
      <c r="C578" s="21" t="s">
        <v>8</v>
      </c>
      <c r="D578" s="22"/>
      <c r="E578" s="22"/>
      <c r="F578" s="22"/>
      <c r="G578" s="22"/>
      <c r="H578" s="23"/>
      <c r="I578" s="10"/>
    </row>
    <row r="579" spans="2:11" x14ac:dyDescent="0.2">
      <c r="B579" s="20" t="s">
        <v>9</v>
      </c>
      <c r="C579" s="21" t="s">
        <v>10</v>
      </c>
      <c r="D579" s="22"/>
      <c r="E579" s="22"/>
      <c r="F579" s="22"/>
      <c r="G579" s="22"/>
      <c r="H579" s="23"/>
      <c r="I579" s="10"/>
    </row>
    <row r="580" spans="2:11" x14ac:dyDescent="0.2">
      <c r="B580" s="20" t="s">
        <v>11</v>
      </c>
      <c r="C580" s="24" t="str">
        <f>VLOOKUP(K571,'[1]FORM XIII'!C$14:P796,3,0)</f>
        <v>HARUN</v>
      </c>
      <c r="D580" s="25"/>
      <c r="E580" s="25"/>
      <c r="F580" s="25"/>
      <c r="G580" s="25"/>
      <c r="H580" s="26"/>
      <c r="I580" s="10"/>
    </row>
    <row r="581" spans="2:11" x14ac:dyDescent="0.2">
      <c r="B581" s="20" t="s">
        <v>12</v>
      </c>
      <c r="C581" s="24">
        <f>VLOOKUP(K571,'[1]FORM XIII'!C$14:P796,2,0)</f>
        <v>99122390</v>
      </c>
      <c r="D581" s="25"/>
      <c r="E581" s="25"/>
      <c r="F581" s="25"/>
      <c r="G581" s="25"/>
      <c r="H581" s="26"/>
      <c r="I581" s="10"/>
    </row>
    <row r="582" spans="2:11" x14ac:dyDescent="0.2">
      <c r="B582" s="20" t="s">
        <v>13</v>
      </c>
      <c r="C582" s="24" t="str">
        <f>VLOOKUP(K571,'[1]FORM XIII'!C$14:P796,8,0)</f>
        <v>SUPERV</v>
      </c>
      <c r="D582" s="25"/>
      <c r="E582" s="25"/>
      <c r="F582" s="25"/>
      <c r="G582" s="25"/>
      <c r="H582" s="26"/>
      <c r="I582" s="10"/>
    </row>
    <row r="583" spans="2:11" ht="20.399999999999999" x14ac:dyDescent="0.2">
      <c r="B583" s="20" t="s">
        <v>14</v>
      </c>
      <c r="C583" s="44" t="s">
        <v>15</v>
      </c>
      <c r="D583" s="45"/>
      <c r="E583" s="45"/>
      <c r="F583" s="45"/>
      <c r="G583" s="45"/>
      <c r="H583" s="46"/>
      <c r="I583" s="10"/>
    </row>
    <row r="584" spans="2:11" x14ac:dyDescent="0.2">
      <c r="B584" s="20" t="s">
        <v>16</v>
      </c>
      <c r="C584" s="44" t="s">
        <v>17</v>
      </c>
      <c r="D584" s="45"/>
      <c r="E584" s="45"/>
      <c r="F584" s="45"/>
      <c r="G584" s="45"/>
      <c r="H584" s="46"/>
      <c r="I584" s="10"/>
    </row>
    <row r="585" spans="2:11" x14ac:dyDescent="0.2">
      <c r="B585" s="20" t="s">
        <v>18</v>
      </c>
      <c r="C585" s="47" t="s">
        <v>19</v>
      </c>
      <c r="D585" s="22"/>
      <c r="E585" s="22"/>
      <c r="F585" s="22"/>
      <c r="G585" s="22"/>
      <c r="H585" s="23"/>
      <c r="I585" s="10"/>
    </row>
    <row r="586" spans="2:11" x14ac:dyDescent="0.2">
      <c r="B586" s="30" t="s">
        <v>20</v>
      </c>
      <c r="C586" s="31"/>
      <c r="D586" s="32"/>
      <c r="E586" s="32"/>
      <c r="F586" s="32"/>
      <c r="G586" s="32"/>
      <c r="H586" s="33"/>
      <c r="I586" s="10"/>
    </row>
    <row r="587" spans="2:11" x14ac:dyDescent="0.2">
      <c r="B587" s="34" t="s">
        <v>21</v>
      </c>
      <c r="C587" s="35"/>
      <c r="D587" s="35"/>
      <c r="E587" s="35"/>
      <c r="F587" s="35"/>
      <c r="G587" s="35"/>
      <c r="H587" s="36"/>
      <c r="I587" s="10"/>
    </row>
    <row r="588" spans="2:11" x14ac:dyDescent="0.2">
      <c r="B588" s="37" t="s">
        <v>22</v>
      </c>
      <c r="C588" s="38" t="s">
        <v>23</v>
      </c>
      <c r="D588" s="38"/>
      <c r="E588" s="38"/>
      <c r="F588" s="38"/>
      <c r="G588" s="38"/>
      <c r="H588" s="39"/>
      <c r="I588" s="10"/>
    </row>
    <row r="589" spans="2:11" ht="10.8" thickBot="1" x14ac:dyDescent="0.25">
      <c r="B589" s="40"/>
      <c r="C589" s="41"/>
      <c r="D589" s="41"/>
      <c r="E589" s="41"/>
      <c r="F589" s="41"/>
      <c r="G589" s="41"/>
      <c r="H589" s="41"/>
      <c r="I589" s="42"/>
    </row>
    <row r="590" spans="2:11" ht="10.8" thickTop="1" x14ac:dyDescent="0.2"/>
    <row r="591" spans="2:11" ht="10.8" thickBot="1" x14ac:dyDescent="0.25"/>
    <row r="592" spans="2:11" ht="10.8" thickTop="1" x14ac:dyDescent="0.2">
      <c r="B592" s="4"/>
      <c r="C592" s="4"/>
      <c r="D592" s="4"/>
      <c r="E592" s="4"/>
      <c r="F592" s="4"/>
      <c r="G592" s="4"/>
      <c r="H592" s="4"/>
      <c r="I592" s="5"/>
      <c r="J592" s="6"/>
      <c r="K592" s="2">
        <f>+K571+1</f>
        <v>29</v>
      </c>
    </row>
    <row r="593" spans="2:10" x14ac:dyDescent="0.2">
      <c r="B593" s="7" t="s">
        <v>0</v>
      </c>
      <c r="C593" s="8"/>
      <c r="D593" s="8"/>
      <c r="E593" s="8"/>
      <c r="F593" s="8"/>
      <c r="G593" s="8"/>
      <c r="H593" s="9"/>
      <c r="I593" s="10"/>
      <c r="J593" s="6"/>
    </row>
    <row r="594" spans="2:10" x14ac:dyDescent="0.2">
      <c r="B594" s="11" t="s">
        <v>1</v>
      </c>
      <c r="C594" s="12"/>
      <c r="D594" s="12"/>
      <c r="E594" s="12"/>
      <c r="F594" s="12"/>
      <c r="G594" s="12"/>
      <c r="H594" s="13"/>
      <c r="I594" s="10"/>
      <c r="J594" s="6"/>
    </row>
    <row r="595" spans="2:10" x14ac:dyDescent="0.2">
      <c r="B595" s="11" t="s">
        <v>2</v>
      </c>
      <c r="C595" s="12"/>
      <c r="D595" s="12"/>
      <c r="E595" s="12"/>
      <c r="F595" s="12"/>
      <c r="G595" s="12"/>
      <c r="H595" s="13"/>
      <c r="I595" s="10"/>
      <c r="J595" s="6"/>
    </row>
    <row r="596" spans="2:10" x14ac:dyDescent="0.2">
      <c r="B596" s="14"/>
      <c r="H596" s="15"/>
      <c r="I596" s="10"/>
      <c r="J596" s="6"/>
    </row>
    <row r="597" spans="2:10" x14ac:dyDescent="0.2">
      <c r="B597" s="16" t="s">
        <v>3</v>
      </c>
      <c r="C597" s="17" t="s">
        <v>4</v>
      </c>
      <c r="D597" s="18"/>
      <c r="E597" s="18"/>
      <c r="F597" s="18"/>
      <c r="G597" s="18"/>
      <c r="H597" s="19"/>
      <c r="I597" s="10"/>
      <c r="J597" s="6"/>
    </row>
    <row r="598" spans="2:10" ht="20.399999999999999" x14ac:dyDescent="0.2">
      <c r="B598" s="20" t="s">
        <v>5</v>
      </c>
      <c r="C598" s="21" t="s">
        <v>6</v>
      </c>
      <c r="D598" s="22"/>
      <c r="E598" s="22"/>
      <c r="F598" s="22"/>
      <c r="G598" s="22"/>
      <c r="H598" s="23"/>
      <c r="I598" s="10"/>
      <c r="J598" s="6"/>
    </row>
    <row r="599" spans="2:10" x14ac:dyDescent="0.2">
      <c r="B599" s="20" t="s">
        <v>7</v>
      </c>
      <c r="C599" s="21" t="s">
        <v>8</v>
      </c>
      <c r="D599" s="22"/>
      <c r="E599" s="22"/>
      <c r="F599" s="22"/>
      <c r="G599" s="22"/>
      <c r="H599" s="23"/>
      <c r="I599" s="10"/>
      <c r="J599" s="6"/>
    </row>
    <row r="600" spans="2:10" x14ac:dyDescent="0.2">
      <c r="B600" s="20" t="s">
        <v>9</v>
      </c>
      <c r="C600" s="21" t="s">
        <v>10</v>
      </c>
      <c r="D600" s="22"/>
      <c r="E600" s="22"/>
      <c r="F600" s="22"/>
      <c r="G600" s="22"/>
      <c r="H600" s="23"/>
      <c r="I600" s="10"/>
      <c r="J600" s="6"/>
    </row>
    <row r="601" spans="2:10" x14ac:dyDescent="0.2">
      <c r="B601" s="20" t="s">
        <v>11</v>
      </c>
      <c r="C601" s="24" t="str">
        <f>VLOOKUP(K592,'[1]FORM XIII'!C$14:P817,3,0)</f>
        <v>ASS.MOHOMMED</v>
      </c>
      <c r="D601" s="25"/>
      <c r="E601" s="25"/>
      <c r="F601" s="25"/>
      <c r="G601" s="25"/>
      <c r="H601" s="26"/>
      <c r="I601" s="10"/>
      <c r="J601" s="6"/>
    </row>
    <row r="602" spans="2:10" x14ac:dyDescent="0.2">
      <c r="B602" s="20" t="s">
        <v>12</v>
      </c>
      <c r="C602" s="24">
        <f>VLOOKUP(K592,'[1]FORM XIII'!C$14:P817,2,0)</f>
        <v>99122481</v>
      </c>
      <c r="D602" s="25"/>
      <c r="E602" s="25"/>
      <c r="F602" s="25"/>
      <c r="G602" s="25"/>
      <c r="H602" s="26"/>
      <c r="I602" s="10"/>
      <c r="J602" s="6"/>
    </row>
    <row r="603" spans="2:10" x14ac:dyDescent="0.2">
      <c r="B603" s="20" t="s">
        <v>13</v>
      </c>
      <c r="C603" s="24" t="str">
        <f>VLOOKUP(K592,'[1]FORM XIII'!C$14:P817,8,0)</f>
        <v>HELPER</v>
      </c>
      <c r="D603" s="25"/>
      <c r="E603" s="25"/>
      <c r="F603" s="25"/>
      <c r="G603" s="25"/>
      <c r="H603" s="26"/>
      <c r="I603" s="10"/>
      <c r="J603" s="6"/>
    </row>
    <row r="604" spans="2:10" ht="20.399999999999999" x14ac:dyDescent="0.2">
      <c r="B604" s="20" t="s">
        <v>14</v>
      </c>
      <c r="C604" s="44" t="s">
        <v>15</v>
      </c>
      <c r="D604" s="45"/>
      <c r="E604" s="45"/>
      <c r="F604" s="45"/>
      <c r="G604" s="45"/>
      <c r="H604" s="46"/>
      <c r="I604" s="10"/>
      <c r="J604" s="6"/>
    </row>
    <row r="605" spans="2:10" x14ac:dyDescent="0.2">
      <c r="B605" s="20" t="s">
        <v>16</v>
      </c>
      <c r="C605" s="44" t="s">
        <v>17</v>
      </c>
      <c r="D605" s="45"/>
      <c r="E605" s="45"/>
      <c r="F605" s="45"/>
      <c r="G605" s="45"/>
      <c r="H605" s="46"/>
      <c r="I605" s="10"/>
      <c r="J605" s="6"/>
    </row>
    <row r="606" spans="2:10" x14ac:dyDescent="0.2">
      <c r="B606" s="20" t="s">
        <v>18</v>
      </c>
      <c r="C606" s="47" t="s">
        <v>19</v>
      </c>
      <c r="D606" s="22"/>
      <c r="E606" s="22"/>
      <c r="F606" s="22"/>
      <c r="G606" s="22"/>
      <c r="H606" s="23"/>
      <c r="I606" s="10"/>
      <c r="J606" s="6"/>
    </row>
    <row r="607" spans="2:10" x14ac:dyDescent="0.2">
      <c r="B607" s="30" t="s">
        <v>20</v>
      </c>
      <c r="C607" s="31"/>
      <c r="D607" s="32"/>
      <c r="E607" s="32"/>
      <c r="F607" s="32"/>
      <c r="G607" s="32"/>
      <c r="H607" s="33"/>
      <c r="I607" s="10"/>
      <c r="J607" s="6"/>
    </row>
    <row r="608" spans="2:10" x14ac:dyDescent="0.2">
      <c r="B608" s="34" t="s">
        <v>21</v>
      </c>
      <c r="C608" s="35"/>
      <c r="D608" s="35"/>
      <c r="E608" s="35"/>
      <c r="F608" s="35"/>
      <c r="G608" s="35"/>
      <c r="H608" s="36"/>
      <c r="I608" s="10"/>
      <c r="J608" s="6"/>
    </row>
    <row r="609" spans="2:11" x14ac:dyDescent="0.2">
      <c r="B609" s="37" t="s">
        <v>22</v>
      </c>
      <c r="C609" s="38" t="s">
        <v>23</v>
      </c>
      <c r="D609" s="38"/>
      <c r="E609" s="38"/>
      <c r="F609" s="38"/>
      <c r="G609" s="38"/>
      <c r="H609" s="39"/>
      <c r="I609" s="10"/>
      <c r="J609" s="6"/>
    </row>
    <row r="610" spans="2:11" ht="10.8" thickBot="1" x14ac:dyDescent="0.25">
      <c r="B610" s="40"/>
      <c r="C610" s="41"/>
      <c r="D610" s="41"/>
      <c r="E610" s="41"/>
      <c r="F610" s="41"/>
      <c r="G610" s="41"/>
      <c r="H610" s="41"/>
      <c r="I610" s="42"/>
      <c r="J610" s="6"/>
    </row>
    <row r="611" spans="2:11" ht="10.8" thickTop="1" x14ac:dyDescent="0.2">
      <c r="J611" s="6"/>
    </row>
    <row r="612" spans="2:11" ht="10.8" thickBot="1" x14ac:dyDescent="0.25"/>
    <row r="613" spans="2:11" ht="10.8" thickTop="1" x14ac:dyDescent="0.2">
      <c r="B613" s="4"/>
      <c r="C613" s="4"/>
      <c r="D613" s="4"/>
      <c r="E613" s="4"/>
      <c r="F613" s="4"/>
      <c r="G613" s="4"/>
      <c r="H613" s="4"/>
      <c r="I613" s="5"/>
      <c r="K613" s="2">
        <f>+K592+1</f>
        <v>30</v>
      </c>
    </row>
    <row r="614" spans="2:11" x14ac:dyDescent="0.2">
      <c r="B614" s="7" t="s">
        <v>0</v>
      </c>
      <c r="C614" s="8"/>
      <c r="D614" s="8"/>
      <c r="E614" s="8"/>
      <c r="F614" s="8"/>
      <c r="G614" s="8"/>
      <c r="H614" s="9"/>
      <c r="I614" s="10"/>
    </row>
    <row r="615" spans="2:11" x14ac:dyDescent="0.2">
      <c r="B615" s="11" t="s">
        <v>1</v>
      </c>
      <c r="C615" s="12"/>
      <c r="D615" s="12"/>
      <c r="E615" s="12"/>
      <c r="F615" s="12"/>
      <c r="G615" s="12"/>
      <c r="H615" s="13"/>
      <c r="I615" s="10"/>
    </row>
    <row r="616" spans="2:11" x14ac:dyDescent="0.2">
      <c r="B616" s="11" t="s">
        <v>2</v>
      </c>
      <c r="C616" s="12"/>
      <c r="D616" s="12"/>
      <c r="E616" s="12"/>
      <c r="F616" s="12"/>
      <c r="G616" s="12"/>
      <c r="H616" s="13"/>
      <c r="I616" s="10"/>
    </row>
    <row r="617" spans="2:11" x14ac:dyDescent="0.2">
      <c r="B617" s="14"/>
      <c r="H617" s="15"/>
      <c r="I617" s="10"/>
    </row>
    <row r="618" spans="2:11" x14ac:dyDescent="0.2">
      <c r="B618" s="16" t="s">
        <v>3</v>
      </c>
      <c r="C618" s="17" t="s">
        <v>4</v>
      </c>
      <c r="D618" s="18"/>
      <c r="E618" s="18"/>
      <c r="F618" s="18"/>
      <c r="G618" s="18"/>
      <c r="H618" s="19"/>
      <c r="I618" s="10"/>
    </row>
    <row r="619" spans="2:11" ht="20.399999999999999" x14ac:dyDescent="0.2">
      <c r="B619" s="20" t="s">
        <v>5</v>
      </c>
      <c r="C619" s="21" t="s">
        <v>6</v>
      </c>
      <c r="D619" s="22"/>
      <c r="E619" s="22"/>
      <c r="F619" s="22"/>
      <c r="G619" s="22"/>
      <c r="H619" s="23"/>
      <c r="I619" s="10"/>
    </row>
    <row r="620" spans="2:11" x14ac:dyDescent="0.2">
      <c r="B620" s="20" t="s">
        <v>7</v>
      </c>
      <c r="C620" s="21" t="s">
        <v>8</v>
      </c>
      <c r="D620" s="22"/>
      <c r="E620" s="22"/>
      <c r="F620" s="22"/>
      <c r="G620" s="22"/>
      <c r="H620" s="23"/>
      <c r="I620" s="10"/>
    </row>
    <row r="621" spans="2:11" x14ac:dyDescent="0.2">
      <c r="B621" s="20" t="s">
        <v>9</v>
      </c>
      <c r="C621" s="21" t="s">
        <v>10</v>
      </c>
      <c r="D621" s="22"/>
      <c r="E621" s="22"/>
      <c r="F621" s="22"/>
      <c r="G621" s="22"/>
      <c r="H621" s="23"/>
      <c r="I621" s="10"/>
    </row>
    <row r="622" spans="2:11" x14ac:dyDescent="0.2">
      <c r="B622" s="20" t="s">
        <v>11</v>
      </c>
      <c r="C622" s="24" t="str">
        <f>VLOOKUP(K613,'[1]FORM XIII'!C$14:P838,3,0)</f>
        <v>RAJENDRA KUMAR</v>
      </c>
      <c r="D622" s="25"/>
      <c r="E622" s="25"/>
      <c r="F622" s="25"/>
      <c r="G622" s="25"/>
      <c r="H622" s="26"/>
      <c r="I622" s="10"/>
    </row>
    <row r="623" spans="2:11" x14ac:dyDescent="0.2">
      <c r="B623" s="20" t="s">
        <v>12</v>
      </c>
      <c r="C623" s="24">
        <f>VLOOKUP(K613,'[1]FORM XIII'!C$14:P838,2,0)</f>
        <v>99122482</v>
      </c>
      <c r="D623" s="25"/>
      <c r="E623" s="25"/>
      <c r="F623" s="25"/>
      <c r="G623" s="25"/>
      <c r="H623" s="26"/>
      <c r="I623" s="10"/>
    </row>
    <row r="624" spans="2:11" x14ac:dyDescent="0.2">
      <c r="B624" s="20" t="s">
        <v>13</v>
      </c>
      <c r="C624" s="24" t="str">
        <f>VLOOKUP(K613,'[1]FORM XIII'!C$14:P838,8,0)</f>
        <v>HELPER</v>
      </c>
      <c r="D624" s="25"/>
      <c r="E624" s="25"/>
      <c r="F624" s="25"/>
      <c r="G624" s="25"/>
      <c r="H624" s="26"/>
      <c r="I624" s="10"/>
    </row>
    <row r="625" spans="2:11" ht="20.399999999999999" x14ac:dyDescent="0.2">
      <c r="B625" s="20" t="s">
        <v>14</v>
      </c>
      <c r="C625" s="44" t="s">
        <v>15</v>
      </c>
      <c r="D625" s="45"/>
      <c r="E625" s="45"/>
      <c r="F625" s="45"/>
      <c r="G625" s="45"/>
      <c r="H625" s="46"/>
      <c r="I625" s="10"/>
    </row>
    <row r="626" spans="2:11" x14ac:dyDescent="0.2">
      <c r="B626" s="20" t="s">
        <v>16</v>
      </c>
      <c r="C626" s="44" t="s">
        <v>17</v>
      </c>
      <c r="D626" s="45"/>
      <c r="E626" s="45"/>
      <c r="F626" s="45"/>
      <c r="G626" s="45"/>
      <c r="H626" s="46"/>
      <c r="I626" s="10"/>
    </row>
    <row r="627" spans="2:11" x14ac:dyDescent="0.2">
      <c r="B627" s="20" t="s">
        <v>18</v>
      </c>
      <c r="C627" s="47" t="s">
        <v>19</v>
      </c>
      <c r="D627" s="22"/>
      <c r="E627" s="22"/>
      <c r="F627" s="22"/>
      <c r="G627" s="22"/>
      <c r="H627" s="23"/>
      <c r="I627" s="10"/>
    </row>
    <row r="628" spans="2:11" x14ac:dyDescent="0.2">
      <c r="B628" s="30" t="s">
        <v>20</v>
      </c>
      <c r="C628" s="31"/>
      <c r="D628" s="32"/>
      <c r="E628" s="32"/>
      <c r="F628" s="32"/>
      <c r="G628" s="32"/>
      <c r="H628" s="33"/>
      <c r="I628" s="10"/>
    </row>
    <row r="629" spans="2:11" x14ac:dyDescent="0.2">
      <c r="B629" s="34" t="s">
        <v>21</v>
      </c>
      <c r="C629" s="35"/>
      <c r="D629" s="35"/>
      <c r="E629" s="35"/>
      <c r="F629" s="35"/>
      <c r="G629" s="35"/>
      <c r="H629" s="36"/>
      <c r="I629" s="10"/>
    </row>
    <row r="630" spans="2:11" x14ac:dyDescent="0.2">
      <c r="B630" s="37" t="s">
        <v>22</v>
      </c>
      <c r="C630" s="38" t="s">
        <v>23</v>
      </c>
      <c r="D630" s="38"/>
      <c r="E630" s="38"/>
      <c r="F630" s="38"/>
      <c r="G630" s="38"/>
      <c r="H630" s="39"/>
      <c r="I630" s="10"/>
    </row>
    <row r="631" spans="2:11" ht="10.8" thickBot="1" x14ac:dyDescent="0.25">
      <c r="B631" s="40"/>
      <c r="C631" s="41"/>
      <c r="D631" s="41"/>
      <c r="E631" s="41"/>
      <c r="F631" s="41"/>
      <c r="G631" s="41"/>
      <c r="H631" s="41"/>
      <c r="I631" s="42"/>
    </row>
    <row r="632" spans="2:11" ht="10.8" thickTop="1" x14ac:dyDescent="0.2"/>
    <row r="633" spans="2:11" ht="10.8" thickBot="1" x14ac:dyDescent="0.25"/>
    <row r="634" spans="2:11" ht="10.8" thickTop="1" x14ac:dyDescent="0.2">
      <c r="B634" s="4"/>
      <c r="C634" s="4"/>
      <c r="D634" s="4"/>
      <c r="E634" s="4"/>
      <c r="F634" s="4"/>
      <c r="G634" s="4"/>
      <c r="H634" s="4"/>
      <c r="I634" s="5"/>
      <c r="K634" s="2">
        <f>+K613+1</f>
        <v>31</v>
      </c>
    </row>
    <row r="635" spans="2:11" x14ac:dyDescent="0.2">
      <c r="B635" s="7" t="s">
        <v>0</v>
      </c>
      <c r="C635" s="8"/>
      <c r="D635" s="8"/>
      <c r="E635" s="8"/>
      <c r="F635" s="8"/>
      <c r="G635" s="8"/>
      <c r="H635" s="9"/>
      <c r="I635" s="10"/>
    </row>
    <row r="636" spans="2:11" x14ac:dyDescent="0.2">
      <c r="B636" s="11" t="s">
        <v>1</v>
      </c>
      <c r="C636" s="12"/>
      <c r="D636" s="12"/>
      <c r="E636" s="12"/>
      <c r="F636" s="12"/>
      <c r="G636" s="12"/>
      <c r="H636" s="13"/>
      <c r="I636" s="10"/>
    </row>
    <row r="637" spans="2:11" x14ac:dyDescent="0.2">
      <c r="B637" s="11" t="s">
        <v>2</v>
      </c>
      <c r="C637" s="12"/>
      <c r="D637" s="12"/>
      <c r="E637" s="12"/>
      <c r="F637" s="12"/>
      <c r="G637" s="12"/>
      <c r="H637" s="13"/>
      <c r="I637" s="10"/>
    </row>
    <row r="638" spans="2:11" x14ac:dyDescent="0.2">
      <c r="B638" s="14"/>
      <c r="H638" s="15"/>
      <c r="I638" s="10"/>
    </row>
    <row r="639" spans="2:11" x14ac:dyDescent="0.2">
      <c r="B639" s="16" t="s">
        <v>3</v>
      </c>
      <c r="C639" s="17" t="s">
        <v>4</v>
      </c>
      <c r="D639" s="18"/>
      <c r="E639" s="18"/>
      <c r="F639" s="18"/>
      <c r="G639" s="18"/>
      <c r="H639" s="19"/>
      <c r="I639" s="10"/>
    </row>
    <row r="640" spans="2:11" ht="20.399999999999999" x14ac:dyDescent="0.2">
      <c r="B640" s="20" t="s">
        <v>5</v>
      </c>
      <c r="C640" s="21" t="s">
        <v>6</v>
      </c>
      <c r="D640" s="22"/>
      <c r="E640" s="22"/>
      <c r="F640" s="22"/>
      <c r="G640" s="22"/>
      <c r="H640" s="23"/>
      <c r="I640" s="10"/>
    </row>
    <row r="641" spans="2:11" x14ac:dyDescent="0.2">
      <c r="B641" s="20" t="s">
        <v>7</v>
      </c>
      <c r="C641" s="21" t="s">
        <v>8</v>
      </c>
      <c r="D641" s="22"/>
      <c r="E641" s="22"/>
      <c r="F641" s="22"/>
      <c r="G641" s="22"/>
      <c r="H641" s="23"/>
      <c r="I641" s="10"/>
    </row>
    <row r="642" spans="2:11" x14ac:dyDescent="0.2">
      <c r="B642" s="20" t="s">
        <v>9</v>
      </c>
      <c r="C642" s="21" t="s">
        <v>10</v>
      </c>
      <c r="D642" s="22"/>
      <c r="E642" s="22"/>
      <c r="F642" s="22"/>
      <c r="G642" s="22"/>
      <c r="H642" s="23"/>
      <c r="I642" s="10"/>
    </row>
    <row r="643" spans="2:11" x14ac:dyDescent="0.2">
      <c r="B643" s="20" t="s">
        <v>11</v>
      </c>
      <c r="C643" s="24" t="str">
        <f>VLOOKUP(K634,'[1]FORM XIII'!C$14:P859,3,0)</f>
        <v>MUNNA</v>
      </c>
      <c r="D643" s="25"/>
      <c r="E643" s="25"/>
      <c r="F643" s="25"/>
      <c r="G643" s="25"/>
      <c r="H643" s="26"/>
      <c r="I643" s="10"/>
    </row>
    <row r="644" spans="2:11" x14ac:dyDescent="0.2">
      <c r="B644" s="20" t="s">
        <v>12</v>
      </c>
      <c r="C644" s="24">
        <f>VLOOKUP(K634,'[1]FORM XIII'!C$14:P859,2,0)</f>
        <v>99122483</v>
      </c>
      <c r="D644" s="25"/>
      <c r="E644" s="25"/>
      <c r="F644" s="25"/>
      <c r="G644" s="25"/>
      <c r="H644" s="26"/>
      <c r="I644" s="10"/>
    </row>
    <row r="645" spans="2:11" x14ac:dyDescent="0.2">
      <c r="B645" s="20" t="s">
        <v>13</v>
      </c>
      <c r="C645" s="24" t="str">
        <f>VLOOKUP(K634,'[1]FORM XIII'!C$14:P859,8,0)</f>
        <v>HELPER</v>
      </c>
      <c r="D645" s="25"/>
      <c r="E645" s="25"/>
      <c r="F645" s="25"/>
      <c r="G645" s="25"/>
      <c r="H645" s="26"/>
      <c r="I645" s="10"/>
    </row>
    <row r="646" spans="2:11" ht="20.399999999999999" x14ac:dyDescent="0.2">
      <c r="B646" s="20" t="s">
        <v>14</v>
      </c>
      <c r="C646" s="44" t="s">
        <v>15</v>
      </c>
      <c r="D646" s="45"/>
      <c r="E646" s="45"/>
      <c r="F646" s="45"/>
      <c r="G646" s="45"/>
      <c r="H646" s="46"/>
      <c r="I646" s="10"/>
    </row>
    <row r="647" spans="2:11" x14ac:dyDescent="0.2">
      <c r="B647" s="20" t="s">
        <v>16</v>
      </c>
      <c r="C647" s="44" t="s">
        <v>17</v>
      </c>
      <c r="D647" s="45"/>
      <c r="E647" s="45"/>
      <c r="F647" s="45"/>
      <c r="G647" s="45"/>
      <c r="H647" s="46"/>
      <c r="I647" s="10"/>
    </row>
    <row r="648" spans="2:11" x14ac:dyDescent="0.2">
      <c r="B648" s="20" t="s">
        <v>18</v>
      </c>
      <c r="C648" s="47" t="s">
        <v>19</v>
      </c>
      <c r="D648" s="22"/>
      <c r="E648" s="22"/>
      <c r="F648" s="22"/>
      <c r="G648" s="22"/>
      <c r="H648" s="23"/>
      <c r="I648" s="10"/>
    </row>
    <row r="649" spans="2:11" x14ac:dyDescent="0.2">
      <c r="B649" s="30" t="s">
        <v>20</v>
      </c>
      <c r="C649" s="31"/>
      <c r="D649" s="32"/>
      <c r="E649" s="32"/>
      <c r="F649" s="32"/>
      <c r="G649" s="32"/>
      <c r="H649" s="33"/>
      <c r="I649" s="10"/>
    </row>
    <row r="650" spans="2:11" x14ac:dyDescent="0.2">
      <c r="B650" s="34" t="s">
        <v>21</v>
      </c>
      <c r="C650" s="35"/>
      <c r="D650" s="35"/>
      <c r="E650" s="35"/>
      <c r="F650" s="35"/>
      <c r="G650" s="35"/>
      <c r="H650" s="36"/>
      <c r="I650" s="10"/>
    </row>
    <row r="651" spans="2:11" x14ac:dyDescent="0.2">
      <c r="B651" s="37" t="s">
        <v>22</v>
      </c>
      <c r="C651" s="38" t="s">
        <v>23</v>
      </c>
      <c r="D651" s="38"/>
      <c r="E651" s="38"/>
      <c r="F651" s="38"/>
      <c r="G651" s="38"/>
      <c r="H651" s="39"/>
      <c r="I651" s="10"/>
    </row>
    <row r="652" spans="2:11" ht="10.8" thickBot="1" x14ac:dyDescent="0.25">
      <c r="B652" s="40"/>
      <c r="C652" s="41"/>
      <c r="D652" s="41"/>
      <c r="E652" s="41"/>
      <c r="F652" s="41"/>
      <c r="G652" s="41"/>
      <c r="H652" s="41"/>
      <c r="I652" s="42"/>
    </row>
    <row r="653" spans="2:11" ht="10.8" thickTop="1" x14ac:dyDescent="0.2"/>
    <row r="654" spans="2:11" ht="10.8" thickBot="1" x14ac:dyDescent="0.25"/>
    <row r="655" spans="2:11" ht="10.8" thickTop="1" x14ac:dyDescent="0.2">
      <c r="B655" s="4"/>
      <c r="C655" s="4"/>
      <c r="D655" s="4"/>
      <c r="E655" s="4"/>
      <c r="F655" s="4"/>
      <c r="G655" s="4"/>
      <c r="H655" s="4"/>
      <c r="I655" s="5"/>
      <c r="K655" s="2">
        <f>+K634+1</f>
        <v>32</v>
      </c>
    </row>
    <row r="656" spans="2:11" x14ac:dyDescent="0.2">
      <c r="B656" s="7" t="s">
        <v>0</v>
      </c>
      <c r="C656" s="8"/>
      <c r="D656" s="8"/>
      <c r="E656" s="8"/>
      <c r="F656" s="8"/>
      <c r="G656" s="8"/>
      <c r="H656" s="9"/>
      <c r="I656" s="10"/>
    </row>
    <row r="657" spans="2:9" x14ac:dyDescent="0.2">
      <c r="B657" s="11" t="s">
        <v>1</v>
      </c>
      <c r="C657" s="12"/>
      <c r="D657" s="12"/>
      <c r="E657" s="12"/>
      <c r="F657" s="12"/>
      <c r="G657" s="12"/>
      <c r="H657" s="13"/>
      <c r="I657" s="10"/>
    </row>
    <row r="658" spans="2:9" x14ac:dyDescent="0.2">
      <c r="B658" s="11" t="s">
        <v>2</v>
      </c>
      <c r="C658" s="12"/>
      <c r="D658" s="12"/>
      <c r="E658" s="12"/>
      <c r="F658" s="12"/>
      <c r="G658" s="12"/>
      <c r="H658" s="13"/>
      <c r="I658" s="10"/>
    </row>
    <row r="659" spans="2:9" x14ac:dyDescent="0.2">
      <c r="B659" s="14"/>
      <c r="H659" s="15"/>
      <c r="I659" s="10"/>
    </row>
    <row r="660" spans="2:9" x14ac:dyDescent="0.2">
      <c r="B660" s="16" t="s">
        <v>3</v>
      </c>
      <c r="C660" s="17" t="s">
        <v>4</v>
      </c>
      <c r="D660" s="18"/>
      <c r="E660" s="18"/>
      <c r="F660" s="18"/>
      <c r="G660" s="18"/>
      <c r="H660" s="19"/>
      <c r="I660" s="10"/>
    </row>
    <row r="661" spans="2:9" ht="20.399999999999999" x14ac:dyDescent="0.2">
      <c r="B661" s="20" t="s">
        <v>5</v>
      </c>
      <c r="C661" s="21" t="s">
        <v>6</v>
      </c>
      <c r="D661" s="22"/>
      <c r="E661" s="22"/>
      <c r="F661" s="22"/>
      <c r="G661" s="22"/>
      <c r="H661" s="23"/>
      <c r="I661" s="10"/>
    </row>
    <row r="662" spans="2:9" x14ac:dyDescent="0.2">
      <c r="B662" s="20" t="s">
        <v>7</v>
      </c>
      <c r="C662" s="21" t="s">
        <v>8</v>
      </c>
      <c r="D662" s="22"/>
      <c r="E662" s="22"/>
      <c r="F662" s="22"/>
      <c r="G662" s="22"/>
      <c r="H662" s="23"/>
      <c r="I662" s="10"/>
    </row>
    <row r="663" spans="2:9" x14ac:dyDescent="0.2">
      <c r="B663" s="20" t="s">
        <v>9</v>
      </c>
      <c r="C663" s="21" t="s">
        <v>10</v>
      </c>
      <c r="D663" s="22"/>
      <c r="E663" s="22"/>
      <c r="F663" s="22"/>
      <c r="G663" s="22"/>
      <c r="H663" s="23"/>
      <c r="I663" s="10"/>
    </row>
    <row r="664" spans="2:9" x14ac:dyDescent="0.2">
      <c r="B664" s="20" t="s">
        <v>11</v>
      </c>
      <c r="C664" s="24" t="str">
        <f>VLOOKUP(K655,'[1]FORM XIII'!C$14:P880,3,0)</f>
        <v>SONU KUMAR</v>
      </c>
      <c r="D664" s="25"/>
      <c r="E664" s="25"/>
      <c r="F664" s="25"/>
      <c r="G664" s="25"/>
      <c r="H664" s="26"/>
      <c r="I664" s="10"/>
    </row>
    <row r="665" spans="2:9" x14ac:dyDescent="0.2">
      <c r="B665" s="20" t="s">
        <v>12</v>
      </c>
      <c r="C665" s="24">
        <f>VLOOKUP(K655,'[1]FORM XIII'!C$14:P880,2,0)</f>
        <v>99132036</v>
      </c>
      <c r="D665" s="25"/>
      <c r="E665" s="25"/>
      <c r="F665" s="25"/>
      <c r="G665" s="25"/>
      <c r="H665" s="26"/>
      <c r="I665" s="10"/>
    </row>
    <row r="666" spans="2:9" x14ac:dyDescent="0.2">
      <c r="B666" s="20" t="s">
        <v>13</v>
      </c>
      <c r="C666" s="24" t="str">
        <f>VLOOKUP(K655,'[1]FORM XIII'!C$14:P880,8,0)</f>
        <v>HELPER</v>
      </c>
      <c r="D666" s="25"/>
      <c r="E666" s="25"/>
      <c r="F666" s="25"/>
      <c r="G666" s="25"/>
      <c r="H666" s="26"/>
      <c r="I666" s="10"/>
    </row>
    <row r="667" spans="2:9" ht="20.399999999999999" x14ac:dyDescent="0.2">
      <c r="B667" s="20" t="s">
        <v>14</v>
      </c>
      <c r="C667" s="44" t="s">
        <v>15</v>
      </c>
      <c r="D667" s="45"/>
      <c r="E667" s="45"/>
      <c r="F667" s="45"/>
      <c r="G667" s="45"/>
      <c r="H667" s="46"/>
      <c r="I667" s="10"/>
    </row>
    <row r="668" spans="2:9" x14ac:dyDescent="0.2">
      <c r="B668" s="20" t="s">
        <v>16</v>
      </c>
      <c r="C668" s="44" t="s">
        <v>17</v>
      </c>
      <c r="D668" s="45"/>
      <c r="E668" s="45"/>
      <c r="F668" s="45"/>
      <c r="G668" s="45"/>
      <c r="H668" s="46"/>
      <c r="I668" s="10"/>
    </row>
    <row r="669" spans="2:9" x14ac:dyDescent="0.2">
      <c r="B669" s="20" t="s">
        <v>18</v>
      </c>
      <c r="C669" s="47" t="s">
        <v>19</v>
      </c>
      <c r="D669" s="22"/>
      <c r="E669" s="22"/>
      <c r="F669" s="22"/>
      <c r="G669" s="22"/>
      <c r="H669" s="23"/>
      <c r="I669" s="10"/>
    </row>
    <row r="670" spans="2:9" x14ac:dyDescent="0.2">
      <c r="B670" s="30" t="s">
        <v>20</v>
      </c>
      <c r="C670" s="31"/>
      <c r="D670" s="32"/>
      <c r="E670" s="32"/>
      <c r="F670" s="32"/>
      <c r="G670" s="32"/>
      <c r="H670" s="33"/>
      <c r="I670" s="10"/>
    </row>
    <row r="671" spans="2:9" x14ac:dyDescent="0.2">
      <c r="B671" s="34" t="s">
        <v>21</v>
      </c>
      <c r="C671" s="35"/>
      <c r="D671" s="35"/>
      <c r="E671" s="35"/>
      <c r="F671" s="35"/>
      <c r="G671" s="35"/>
      <c r="H671" s="36"/>
      <c r="I671" s="10"/>
    </row>
    <row r="672" spans="2:9" x14ac:dyDescent="0.2">
      <c r="B672" s="37" t="s">
        <v>22</v>
      </c>
      <c r="C672" s="38" t="s">
        <v>23</v>
      </c>
      <c r="D672" s="38"/>
      <c r="E672" s="38"/>
      <c r="F672" s="38"/>
      <c r="G672" s="38"/>
      <c r="H672" s="39"/>
      <c r="I672" s="10"/>
    </row>
    <row r="673" spans="2:11" ht="10.8" thickBot="1" x14ac:dyDescent="0.25">
      <c r="B673" s="40"/>
      <c r="C673" s="41"/>
      <c r="D673" s="41"/>
      <c r="E673" s="41"/>
      <c r="F673" s="41"/>
      <c r="G673" s="41"/>
      <c r="H673" s="41"/>
      <c r="I673" s="42"/>
    </row>
    <row r="674" spans="2:11" ht="10.8" thickTop="1" x14ac:dyDescent="0.2"/>
    <row r="675" spans="2:11" ht="10.8" thickBot="1" x14ac:dyDescent="0.25"/>
    <row r="676" spans="2:11" ht="10.8" thickTop="1" x14ac:dyDescent="0.2">
      <c r="B676" s="4"/>
      <c r="C676" s="4"/>
      <c r="D676" s="4"/>
      <c r="E676" s="4"/>
      <c r="F676" s="4"/>
      <c r="G676" s="4"/>
      <c r="H676" s="4"/>
      <c r="I676" s="5"/>
      <c r="K676" s="2">
        <f>+K655+1</f>
        <v>33</v>
      </c>
    </row>
    <row r="677" spans="2:11" x14ac:dyDescent="0.2">
      <c r="B677" s="7" t="s">
        <v>0</v>
      </c>
      <c r="C677" s="8"/>
      <c r="D677" s="8"/>
      <c r="E677" s="8"/>
      <c r="F677" s="8"/>
      <c r="G677" s="8"/>
      <c r="H677" s="9"/>
      <c r="I677" s="10"/>
    </row>
    <row r="678" spans="2:11" x14ac:dyDescent="0.2">
      <c r="B678" s="11" t="s">
        <v>1</v>
      </c>
      <c r="C678" s="12"/>
      <c r="D678" s="12"/>
      <c r="E678" s="12"/>
      <c r="F678" s="12"/>
      <c r="G678" s="12"/>
      <c r="H678" s="13"/>
      <c r="I678" s="10"/>
    </row>
    <row r="679" spans="2:11" x14ac:dyDescent="0.2">
      <c r="B679" s="11" t="s">
        <v>2</v>
      </c>
      <c r="C679" s="12"/>
      <c r="D679" s="12"/>
      <c r="E679" s="12"/>
      <c r="F679" s="12"/>
      <c r="G679" s="12"/>
      <c r="H679" s="13"/>
      <c r="I679" s="10"/>
    </row>
    <row r="680" spans="2:11" x14ac:dyDescent="0.2">
      <c r="B680" s="14"/>
      <c r="H680" s="15"/>
      <c r="I680" s="10"/>
    </row>
    <row r="681" spans="2:11" x14ac:dyDescent="0.2">
      <c r="B681" s="16" t="s">
        <v>3</v>
      </c>
      <c r="C681" s="17" t="s">
        <v>4</v>
      </c>
      <c r="D681" s="18"/>
      <c r="E681" s="18"/>
      <c r="F681" s="18"/>
      <c r="G681" s="18"/>
      <c r="H681" s="19"/>
      <c r="I681" s="10"/>
    </row>
    <row r="682" spans="2:11" ht="20.399999999999999" x14ac:dyDescent="0.2">
      <c r="B682" s="20" t="s">
        <v>5</v>
      </c>
      <c r="C682" s="21" t="s">
        <v>6</v>
      </c>
      <c r="D682" s="22"/>
      <c r="E682" s="22"/>
      <c r="F682" s="22"/>
      <c r="G682" s="22"/>
      <c r="H682" s="23"/>
      <c r="I682" s="10"/>
    </row>
    <row r="683" spans="2:11" x14ac:dyDescent="0.2">
      <c r="B683" s="20" t="s">
        <v>7</v>
      </c>
      <c r="C683" s="21" t="s">
        <v>8</v>
      </c>
      <c r="D683" s="22"/>
      <c r="E683" s="22"/>
      <c r="F683" s="22"/>
      <c r="G683" s="22"/>
      <c r="H683" s="23"/>
      <c r="I683" s="10"/>
    </row>
    <row r="684" spans="2:11" x14ac:dyDescent="0.2">
      <c r="B684" s="20" t="s">
        <v>9</v>
      </c>
      <c r="C684" s="21" t="s">
        <v>10</v>
      </c>
      <c r="D684" s="22"/>
      <c r="E684" s="22"/>
      <c r="F684" s="22"/>
      <c r="G684" s="22"/>
      <c r="H684" s="23"/>
      <c r="I684" s="10"/>
    </row>
    <row r="685" spans="2:11" x14ac:dyDescent="0.2">
      <c r="B685" s="20" t="s">
        <v>11</v>
      </c>
      <c r="C685" s="24" t="str">
        <f>VLOOKUP(K676,'[1]FORM XIII'!C$14:P901,3,0)</f>
        <v>SHERKHAN</v>
      </c>
      <c r="D685" s="25"/>
      <c r="E685" s="25"/>
      <c r="F685" s="25"/>
      <c r="G685" s="25"/>
      <c r="H685" s="26"/>
      <c r="I685" s="10"/>
    </row>
    <row r="686" spans="2:11" x14ac:dyDescent="0.2">
      <c r="B686" s="20" t="s">
        <v>12</v>
      </c>
      <c r="C686" s="24">
        <f>VLOOKUP(K676,'[1]FORM XIII'!C$14:P901,2,0)</f>
        <v>99132326</v>
      </c>
      <c r="D686" s="25"/>
      <c r="E686" s="25"/>
      <c r="F686" s="25"/>
      <c r="G686" s="25"/>
      <c r="H686" s="26"/>
      <c r="I686" s="10"/>
    </row>
    <row r="687" spans="2:11" x14ac:dyDescent="0.2">
      <c r="B687" s="20" t="s">
        <v>13</v>
      </c>
      <c r="C687" s="24" t="str">
        <f>VLOOKUP(K676,'[1]FORM XIII'!C$14:P901,8,0)</f>
        <v>HELPER</v>
      </c>
      <c r="D687" s="25"/>
      <c r="E687" s="25"/>
      <c r="F687" s="25"/>
      <c r="G687" s="25"/>
      <c r="H687" s="26"/>
      <c r="I687" s="10"/>
    </row>
    <row r="688" spans="2:11" ht="20.399999999999999" x14ac:dyDescent="0.2">
      <c r="B688" s="20" t="s">
        <v>14</v>
      </c>
      <c r="C688" s="44" t="s">
        <v>15</v>
      </c>
      <c r="D688" s="45"/>
      <c r="E688" s="45"/>
      <c r="F688" s="45"/>
      <c r="G688" s="45"/>
      <c r="H688" s="46"/>
      <c r="I688" s="10"/>
    </row>
    <row r="689" spans="2:11" x14ac:dyDescent="0.2">
      <c r="B689" s="20" t="s">
        <v>16</v>
      </c>
      <c r="C689" s="44" t="s">
        <v>17</v>
      </c>
      <c r="D689" s="45"/>
      <c r="E689" s="45"/>
      <c r="F689" s="45"/>
      <c r="G689" s="45"/>
      <c r="H689" s="46"/>
      <c r="I689" s="10"/>
    </row>
    <row r="690" spans="2:11" x14ac:dyDescent="0.2">
      <c r="B690" s="20" t="s">
        <v>18</v>
      </c>
      <c r="C690" s="47" t="s">
        <v>19</v>
      </c>
      <c r="D690" s="22"/>
      <c r="E690" s="22"/>
      <c r="F690" s="22"/>
      <c r="G690" s="22"/>
      <c r="H690" s="23"/>
      <c r="I690" s="10"/>
    </row>
    <row r="691" spans="2:11" x14ac:dyDescent="0.2">
      <c r="B691" s="30" t="s">
        <v>20</v>
      </c>
      <c r="C691" s="31"/>
      <c r="D691" s="32"/>
      <c r="E691" s="32"/>
      <c r="F691" s="32"/>
      <c r="G691" s="32"/>
      <c r="H691" s="33"/>
      <c r="I691" s="10"/>
    </row>
    <row r="692" spans="2:11" x14ac:dyDescent="0.2">
      <c r="B692" s="34" t="s">
        <v>21</v>
      </c>
      <c r="C692" s="35"/>
      <c r="D692" s="35"/>
      <c r="E692" s="35"/>
      <c r="F692" s="35"/>
      <c r="G692" s="35"/>
      <c r="H692" s="36"/>
      <c r="I692" s="10"/>
    </row>
    <row r="693" spans="2:11" x14ac:dyDescent="0.2">
      <c r="B693" s="37" t="s">
        <v>22</v>
      </c>
      <c r="C693" s="38" t="s">
        <v>23</v>
      </c>
      <c r="D693" s="38"/>
      <c r="E693" s="38"/>
      <c r="F693" s="38"/>
      <c r="G693" s="38"/>
      <c r="H693" s="39"/>
      <c r="I693" s="10"/>
    </row>
    <row r="694" spans="2:11" ht="10.8" thickBot="1" x14ac:dyDescent="0.25">
      <c r="B694" s="40"/>
      <c r="C694" s="41"/>
      <c r="D694" s="41"/>
      <c r="E694" s="41"/>
      <c r="F694" s="41"/>
      <c r="G694" s="41"/>
      <c r="H694" s="41"/>
      <c r="I694" s="42"/>
    </row>
    <row r="695" spans="2:11" ht="10.8" thickTop="1" x14ac:dyDescent="0.2"/>
    <row r="696" spans="2:11" ht="10.8" thickBot="1" x14ac:dyDescent="0.25"/>
    <row r="697" spans="2:11" ht="10.8" thickTop="1" x14ac:dyDescent="0.2">
      <c r="B697" s="4"/>
      <c r="C697" s="4"/>
      <c r="D697" s="4"/>
      <c r="E697" s="4"/>
      <c r="F697" s="4"/>
      <c r="G697" s="4"/>
      <c r="H697" s="4"/>
      <c r="I697" s="5"/>
      <c r="K697" s="2">
        <f>+K676+1</f>
        <v>34</v>
      </c>
    </row>
    <row r="698" spans="2:11" x14ac:dyDescent="0.2">
      <c r="B698" s="7" t="s">
        <v>0</v>
      </c>
      <c r="C698" s="8"/>
      <c r="D698" s="8"/>
      <c r="E698" s="8"/>
      <c r="F698" s="8"/>
      <c r="G698" s="8"/>
      <c r="H698" s="9"/>
      <c r="I698" s="10"/>
    </row>
    <row r="699" spans="2:11" x14ac:dyDescent="0.2">
      <c r="B699" s="11" t="s">
        <v>1</v>
      </c>
      <c r="C699" s="12"/>
      <c r="D699" s="12"/>
      <c r="E699" s="12"/>
      <c r="F699" s="12"/>
      <c r="G699" s="12"/>
      <c r="H699" s="13"/>
      <c r="I699" s="10"/>
    </row>
    <row r="700" spans="2:11" x14ac:dyDescent="0.2">
      <c r="B700" s="11" t="s">
        <v>2</v>
      </c>
      <c r="C700" s="12"/>
      <c r="D700" s="12"/>
      <c r="E700" s="12"/>
      <c r="F700" s="12"/>
      <c r="G700" s="12"/>
      <c r="H700" s="13"/>
      <c r="I700" s="10"/>
    </row>
    <row r="701" spans="2:11" x14ac:dyDescent="0.2">
      <c r="B701" s="14"/>
      <c r="H701" s="15"/>
      <c r="I701" s="10"/>
    </row>
    <row r="702" spans="2:11" x14ac:dyDescent="0.2">
      <c r="B702" s="16" t="s">
        <v>3</v>
      </c>
      <c r="C702" s="17" t="s">
        <v>4</v>
      </c>
      <c r="D702" s="18"/>
      <c r="E702" s="18"/>
      <c r="F702" s="18"/>
      <c r="G702" s="18"/>
      <c r="H702" s="19"/>
      <c r="I702" s="10"/>
    </row>
    <row r="703" spans="2:11" ht="20.399999999999999" x14ac:dyDescent="0.2">
      <c r="B703" s="20" t="s">
        <v>5</v>
      </c>
      <c r="C703" s="21" t="s">
        <v>6</v>
      </c>
      <c r="D703" s="22"/>
      <c r="E703" s="22"/>
      <c r="F703" s="22"/>
      <c r="G703" s="22"/>
      <c r="H703" s="23"/>
      <c r="I703" s="10"/>
    </row>
    <row r="704" spans="2:11" x14ac:dyDescent="0.2">
      <c r="B704" s="20" t="s">
        <v>7</v>
      </c>
      <c r="C704" s="21" t="s">
        <v>8</v>
      </c>
      <c r="D704" s="22"/>
      <c r="E704" s="22"/>
      <c r="F704" s="22"/>
      <c r="G704" s="22"/>
      <c r="H704" s="23"/>
      <c r="I704" s="10"/>
    </row>
    <row r="705" spans="2:11" x14ac:dyDescent="0.2">
      <c r="B705" s="20" t="s">
        <v>9</v>
      </c>
      <c r="C705" s="21" t="s">
        <v>10</v>
      </c>
      <c r="D705" s="22"/>
      <c r="E705" s="22"/>
      <c r="F705" s="22"/>
      <c r="G705" s="22"/>
      <c r="H705" s="23"/>
      <c r="I705" s="10"/>
    </row>
    <row r="706" spans="2:11" x14ac:dyDescent="0.2">
      <c r="B706" s="20" t="s">
        <v>11</v>
      </c>
      <c r="C706" s="24" t="str">
        <f>VLOOKUP(K697,'[1]FORM XIII'!C$14:P922,3,0)</f>
        <v>DANISH</v>
      </c>
      <c r="D706" s="25"/>
      <c r="E706" s="25"/>
      <c r="F706" s="25"/>
      <c r="G706" s="25"/>
      <c r="H706" s="26"/>
      <c r="I706" s="10"/>
    </row>
    <row r="707" spans="2:11" x14ac:dyDescent="0.2">
      <c r="B707" s="20" t="s">
        <v>12</v>
      </c>
      <c r="C707" s="24">
        <f>VLOOKUP(K697,'[1]FORM XIII'!C$14:P922,2,0)</f>
        <v>99133051</v>
      </c>
      <c r="D707" s="25"/>
      <c r="E707" s="25"/>
      <c r="F707" s="25"/>
      <c r="G707" s="25"/>
      <c r="H707" s="26"/>
      <c r="I707" s="10"/>
    </row>
    <row r="708" spans="2:11" x14ac:dyDescent="0.2">
      <c r="B708" s="20" t="s">
        <v>13</v>
      </c>
      <c r="C708" s="24" t="str">
        <f>VLOOKUP(K697,'[1]FORM XIII'!C$14:P922,8,0)</f>
        <v>HELPER</v>
      </c>
      <c r="D708" s="25"/>
      <c r="E708" s="25"/>
      <c r="F708" s="25"/>
      <c r="G708" s="25"/>
      <c r="H708" s="26"/>
      <c r="I708" s="10"/>
    </row>
    <row r="709" spans="2:11" ht="20.399999999999999" x14ac:dyDescent="0.2">
      <c r="B709" s="20" t="s">
        <v>14</v>
      </c>
      <c r="C709" s="44" t="s">
        <v>15</v>
      </c>
      <c r="D709" s="45"/>
      <c r="E709" s="45"/>
      <c r="F709" s="45"/>
      <c r="G709" s="45"/>
      <c r="H709" s="46"/>
      <c r="I709" s="10"/>
    </row>
    <row r="710" spans="2:11" x14ac:dyDescent="0.2">
      <c r="B710" s="20" t="s">
        <v>16</v>
      </c>
      <c r="C710" s="44" t="s">
        <v>17</v>
      </c>
      <c r="D710" s="45"/>
      <c r="E710" s="45"/>
      <c r="F710" s="45"/>
      <c r="G710" s="45"/>
      <c r="H710" s="46"/>
      <c r="I710" s="10"/>
    </row>
    <row r="711" spans="2:11" x14ac:dyDescent="0.2">
      <c r="B711" s="20" t="s">
        <v>18</v>
      </c>
      <c r="C711" s="47" t="s">
        <v>19</v>
      </c>
      <c r="D711" s="22"/>
      <c r="E711" s="22"/>
      <c r="F711" s="22"/>
      <c r="G711" s="22"/>
      <c r="H711" s="23"/>
      <c r="I711" s="10"/>
    </row>
    <row r="712" spans="2:11" x14ac:dyDescent="0.2">
      <c r="B712" s="30" t="s">
        <v>20</v>
      </c>
      <c r="C712" s="31"/>
      <c r="D712" s="32"/>
      <c r="E712" s="32"/>
      <c r="F712" s="32"/>
      <c r="G712" s="32"/>
      <c r="H712" s="33"/>
      <c r="I712" s="10"/>
    </row>
    <row r="713" spans="2:11" x14ac:dyDescent="0.2">
      <c r="B713" s="34" t="s">
        <v>21</v>
      </c>
      <c r="C713" s="35"/>
      <c r="D713" s="35"/>
      <c r="E713" s="35"/>
      <c r="F713" s="35"/>
      <c r="G713" s="35"/>
      <c r="H713" s="36"/>
      <c r="I713" s="10"/>
    </row>
    <row r="714" spans="2:11" x14ac:dyDescent="0.2">
      <c r="B714" s="37" t="s">
        <v>22</v>
      </c>
      <c r="C714" s="38" t="s">
        <v>23</v>
      </c>
      <c r="D714" s="38"/>
      <c r="E714" s="38"/>
      <c r="F714" s="38"/>
      <c r="G714" s="38"/>
      <c r="H714" s="39"/>
      <c r="I714" s="10"/>
    </row>
    <row r="715" spans="2:11" ht="10.8" thickBot="1" x14ac:dyDescent="0.25">
      <c r="B715" s="40"/>
      <c r="C715" s="41"/>
      <c r="D715" s="41"/>
      <c r="E715" s="41"/>
      <c r="F715" s="41"/>
      <c r="G715" s="41"/>
      <c r="H715" s="41"/>
      <c r="I715" s="42"/>
    </row>
    <row r="716" spans="2:11" ht="10.8" thickTop="1" x14ac:dyDescent="0.2"/>
    <row r="717" spans="2:11" ht="10.8" thickBot="1" x14ac:dyDescent="0.25"/>
    <row r="718" spans="2:11" ht="10.8" thickTop="1" x14ac:dyDescent="0.2">
      <c r="B718" s="4"/>
      <c r="C718" s="4"/>
      <c r="D718" s="4"/>
      <c r="E718" s="4"/>
      <c r="F718" s="4"/>
      <c r="G718" s="4"/>
      <c r="H718" s="4"/>
      <c r="I718" s="5"/>
      <c r="K718" s="2">
        <f>+K697+1</f>
        <v>35</v>
      </c>
    </row>
    <row r="719" spans="2:11" x14ac:dyDescent="0.2">
      <c r="B719" s="7" t="s">
        <v>0</v>
      </c>
      <c r="C719" s="8"/>
      <c r="D719" s="8"/>
      <c r="E719" s="8"/>
      <c r="F719" s="8"/>
      <c r="G719" s="8"/>
      <c r="H719" s="9"/>
      <c r="I719" s="10"/>
    </row>
    <row r="720" spans="2:11" x14ac:dyDescent="0.2">
      <c r="B720" s="11" t="s">
        <v>1</v>
      </c>
      <c r="C720" s="12"/>
      <c r="D720" s="12"/>
      <c r="E720" s="12"/>
      <c r="F720" s="12"/>
      <c r="G720" s="12"/>
      <c r="H720" s="13"/>
      <c r="I720" s="10"/>
    </row>
    <row r="721" spans="2:9" x14ac:dyDescent="0.2">
      <c r="B721" s="11" t="s">
        <v>2</v>
      </c>
      <c r="C721" s="12"/>
      <c r="D721" s="12"/>
      <c r="E721" s="12"/>
      <c r="F721" s="12"/>
      <c r="G721" s="12"/>
      <c r="H721" s="13"/>
      <c r="I721" s="10"/>
    </row>
    <row r="722" spans="2:9" x14ac:dyDescent="0.2">
      <c r="B722" s="14"/>
      <c r="H722" s="15"/>
      <c r="I722" s="10"/>
    </row>
    <row r="723" spans="2:9" x14ac:dyDescent="0.2">
      <c r="B723" s="16" t="s">
        <v>3</v>
      </c>
      <c r="C723" s="17" t="s">
        <v>4</v>
      </c>
      <c r="D723" s="18"/>
      <c r="E723" s="18"/>
      <c r="F723" s="18"/>
      <c r="G723" s="18"/>
      <c r="H723" s="19"/>
      <c r="I723" s="10"/>
    </row>
    <row r="724" spans="2:9" ht="20.399999999999999" x14ac:dyDescent="0.2">
      <c r="B724" s="20" t="s">
        <v>5</v>
      </c>
      <c r="C724" s="21" t="s">
        <v>6</v>
      </c>
      <c r="D724" s="22"/>
      <c r="E724" s="22"/>
      <c r="F724" s="22"/>
      <c r="G724" s="22"/>
      <c r="H724" s="23"/>
      <c r="I724" s="10"/>
    </row>
    <row r="725" spans="2:9" x14ac:dyDescent="0.2">
      <c r="B725" s="20" t="s">
        <v>7</v>
      </c>
      <c r="C725" s="21" t="s">
        <v>8</v>
      </c>
      <c r="D725" s="22"/>
      <c r="E725" s="22"/>
      <c r="F725" s="22"/>
      <c r="G725" s="22"/>
      <c r="H725" s="23"/>
      <c r="I725" s="10"/>
    </row>
    <row r="726" spans="2:9" x14ac:dyDescent="0.2">
      <c r="B726" s="20" t="s">
        <v>9</v>
      </c>
      <c r="C726" s="21" t="s">
        <v>10</v>
      </c>
      <c r="D726" s="22"/>
      <c r="E726" s="22"/>
      <c r="F726" s="22"/>
      <c r="G726" s="22"/>
      <c r="H726" s="23"/>
      <c r="I726" s="10"/>
    </row>
    <row r="727" spans="2:9" x14ac:dyDescent="0.2">
      <c r="B727" s="20" t="s">
        <v>11</v>
      </c>
      <c r="C727" s="24" t="str">
        <f>VLOOKUP(K718,'[1]FORM XIII'!C$14:P943,3,0)</f>
        <v>SAKIR ALI</v>
      </c>
      <c r="D727" s="25"/>
      <c r="E727" s="25"/>
      <c r="F727" s="25"/>
      <c r="G727" s="25"/>
      <c r="H727" s="26"/>
      <c r="I727" s="10"/>
    </row>
    <row r="728" spans="2:9" x14ac:dyDescent="0.2">
      <c r="B728" s="20" t="s">
        <v>12</v>
      </c>
      <c r="C728" s="24">
        <f>VLOOKUP(K718,'[1]FORM XIII'!C$14:P943,2,0)</f>
        <v>99133848</v>
      </c>
      <c r="D728" s="25"/>
      <c r="E728" s="25"/>
      <c r="F728" s="25"/>
      <c r="G728" s="25"/>
      <c r="H728" s="26"/>
      <c r="I728" s="10"/>
    </row>
    <row r="729" spans="2:9" x14ac:dyDescent="0.2">
      <c r="B729" s="20" t="s">
        <v>13</v>
      </c>
      <c r="C729" s="24" t="str">
        <f>VLOOKUP(K718,'[1]FORM XIII'!C$14:P943,8,0)</f>
        <v>HELPER</v>
      </c>
      <c r="D729" s="25"/>
      <c r="E729" s="25"/>
      <c r="F729" s="25"/>
      <c r="G729" s="25"/>
      <c r="H729" s="26"/>
      <c r="I729" s="10"/>
    </row>
    <row r="730" spans="2:9" ht="20.399999999999999" x14ac:dyDescent="0.2">
      <c r="B730" s="20" t="s">
        <v>14</v>
      </c>
      <c r="C730" s="44" t="s">
        <v>15</v>
      </c>
      <c r="D730" s="45"/>
      <c r="E730" s="45"/>
      <c r="F730" s="45"/>
      <c r="G730" s="45"/>
      <c r="H730" s="46"/>
      <c r="I730" s="10"/>
    </row>
    <row r="731" spans="2:9" x14ac:dyDescent="0.2">
      <c r="B731" s="20" t="s">
        <v>16</v>
      </c>
      <c r="C731" s="44" t="s">
        <v>17</v>
      </c>
      <c r="D731" s="45"/>
      <c r="E731" s="45"/>
      <c r="F731" s="45"/>
      <c r="G731" s="45"/>
      <c r="H731" s="46"/>
      <c r="I731" s="10"/>
    </row>
    <row r="732" spans="2:9" x14ac:dyDescent="0.2">
      <c r="B732" s="20" t="s">
        <v>18</v>
      </c>
      <c r="C732" s="47" t="s">
        <v>19</v>
      </c>
      <c r="D732" s="22"/>
      <c r="E732" s="22"/>
      <c r="F732" s="22"/>
      <c r="G732" s="22"/>
      <c r="H732" s="23"/>
      <c r="I732" s="10"/>
    </row>
    <row r="733" spans="2:9" x14ac:dyDescent="0.2">
      <c r="B733" s="30" t="s">
        <v>20</v>
      </c>
      <c r="C733" s="31"/>
      <c r="D733" s="32"/>
      <c r="E733" s="32"/>
      <c r="F733" s="32"/>
      <c r="G733" s="32"/>
      <c r="H733" s="33"/>
      <c r="I733" s="10"/>
    </row>
    <row r="734" spans="2:9" x14ac:dyDescent="0.2">
      <c r="B734" s="34" t="s">
        <v>21</v>
      </c>
      <c r="C734" s="35"/>
      <c r="D734" s="35"/>
      <c r="E734" s="35"/>
      <c r="F734" s="35"/>
      <c r="G734" s="35"/>
      <c r="H734" s="36"/>
      <c r="I734" s="10"/>
    </row>
    <row r="735" spans="2:9" x14ac:dyDescent="0.2">
      <c r="B735" s="37" t="s">
        <v>22</v>
      </c>
      <c r="C735" s="38" t="s">
        <v>23</v>
      </c>
      <c r="D735" s="38"/>
      <c r="E735" s="38"/>
      <c r="F735" s="38"/>
      <c r="G735" s="38"/>
      <c r="H735" s="39"/>
      <c r="I735" s="10"/>
    </row>
    <row r="736" spans="2:9" ht="10.8" thickBot="1" x14ac:dyDescent="0.25">
      <c r="B736" s="40"/>
      <c r="C736" s="41"/>
      <c r="D736" s="41"/>
      <c r="E736" s="41"/>
      <c r="F736" s="41"/>
      <c r="G736" s="41"/>
      <c r="H736" s="41"/>
      <c r="I736" s="42"/>
    </row>
    <row r="737" spans="2:11" ht="10.8" thickTop="1" x14ac:dyDescent="0.2"/>
    <row r="738" spans="2:11" ht="10.8" thickBot="1" x14ac:dyDescent="0.25"/>
    <row r="739" spans="2:11" ht="10.8" thickTop="1" x14ac:dyDescent="0.2">
      <c r="B739" s="4"/>
      <c r="C739" s="4"/>
      <c r="D739" s="4"/>
      <c r="E739" s="4"/>
      <c r="F739" s="4"/>
      <c r="G739" s="4"/>
      <c r="H739" s="4"/>
      <c r="I739" s="5"/>
      <c r="K739" s="2">
        <f>+K718+1</f>
        <v>36</v>
      </c>
    </row>
    <row r="740" spans="2:11" x14ac:dyDescent="0.2">
      <c r="B740" s="7" t="s">
        <v>0</v>
      </c>
      <c r="C740" s="8"/>
      <c r="D740" s="8"/>
      <c r="E740" s="8"/>
      <c r="F740" s="8"/>
      <c r="G740" s="8"/>
      <c r="H740" s="9"/>
      <c r="I740" s="10"/>
    </row>
    <row r="741" spans="2:11" x14ac:dyDescent="0.2">
      <c r="B741" s="11" t="s">
        <v>1</v>
      </c>
      <c r="C741" s="12"/>
      <c r="D741" s="12"/>
      <c r="E741" s="12"/>
      <c r="F741" s="12"/>
      <c r="G741" s="12"/>
      <c r="H741" s="13"/>
      <c r="I741" s="10"/>
    </row>
    <row r="742" spans="2:11" x14ac:dyDescent="0.2">
      <c r="B742" s="11" t="s">
        <v>2</v>
      </c>
      <c r="C742" s="12"/>
      <c r="D742" s="12"/>
      <c r="E742" s="12"/>
      <c r="F742" s="12"/>
      <c r="G742" s="12"/>
      <c r="H742" s="13"/>
      <c r="I742" s="10"/>
    </row>
    <row r="743" spans="2:11" x14ac:dyDescent="0.2">
      <c r="B743" s="14"/>
      <c r="H743" s="15"/>
      <c r="I743" s="10"/>
    </row>
    <row r="744" spans="2:11" x14ac:dyDescent="0.2">
      <c r="B744" s="16" t="s">
        <v>3</v>
      </c>
      <c r="C744" s="17" t="s">
        <v>4</v>
      </c>
      <c r="D744" s="18"/>
      <c r="E744" s="18"/>
      <c r="F744" s="18"/>
      <c r="G744" s="18"/>
      <c r="H744" s="19"/>
      <c r="I744" s="10"/>
    </row>
    <row r="745" spans="2:11" ht="20.399999999999999" x14ac:dyDescent="0.2">
      <c r="B745" s="20" t="s">
        <v>5</v>
      </c>
      <c r="C745" s="21" t="s">
        <v>6</v>
      </c>
      <c r="D745" s="22"/>
      <c r="E745" s="22"/>
      <c r="F745" s="22"/>
      <c r="G745" s="22"/>
      <c r="H745" s="23"/>
      <c r="I745" s="10"/>
    </row>
    <row r="746" spans="2:11" x14ac:dyDescent="0.2">
      <c r="B746" s="20" t="s">
        <v>7</v>
      </c>
      <c r="C746" s="21" t="s">
        <v>8</v>
      </c>
      <c r="D746" s="22"/>
      <c r="E746" s="22"/>
      <c r="F746" s="22"/>
      <c r="G746" s="22"/>
      <c r="H746" s="23"/>
      <c r="I746" s="10"/>
    </row>
    <row r="747" spans="2:11" x14ac:dyDescent="0.2">
      <c r="B747" s="20" t="s">
        <v>9</v>
      </c>
      <c r="C747" s="21" t="s">
        <v>10</v>
      </c>
      <c r="D747" s="22"/>
      <c r="E747" s="22"/>
      <c r="F747" s="22"/>
      <c r="G747" s="22"/>
      <c r="H747" s="23"/>
      <c r="I747" s="10"/>
    </row>
    <row r="748" spans="2:11" x14ac:dyDescent="0.2">
      <c r="B748" s="20" t="s">
        <v>11</v>
      </c>
      <c r="C748" s="24" t="str">
        <f>VLOOKUP(K739,'[1]FORM XIII'!C$14:P964,3,0)</f>
        <v>AASKAR</v>
      </c>
      <c r="D748" s="25"/>
      <c r="E748" s="25"/>
      <c r="F748" s="25"/>
      <c r="G748" s="25"/>
      <c r="H748" s="26"/>
      <c r="I748" s="10"/>
    </row>
    <row r="749" spans="2:11" x14ac:dyDescent="0.2">
      <c r="B749" s="20" t="s">
        <v>12</v>
      </c>
      <c r="C749" s="24">
        <f>VLOOKUP(K739,'[1]FORM XIII'!C$14:P964,2,0)</f>
        <v>99134608</v>
      </c>
      <c r="D749" s="25"/>
      <c r="E749" s="25"/>
      <c r="F749" s="25"/>
      <c r="G749" s="25"/>
      <c r="H749" s="26"/>
      <c r="I749" s="10"/>
    </row>
    <row r="750" spans="2:11" x14ac:dyDescent="0.2">
      <c r="B750" s="20" t="s">
        <v>13</v>
      </c>
      <c r="C750" s="24" t="str">
        <f>VLOOKUP(K739,'[1]FORM XIII'!C$14:P964,8,0)</f>
        <v>HELPER</v>
      </c>
      <c r="D750" s="25"/>
      <c r="E750" s="25"/>
      <c r="F750" s="25"/>
      <c r="G750" s="25"/>
      <c r="H750" s="26"/>
      <c r="I750" s="10"/>
    </row>
    <row r="751" spans="2:11" ht="20.399999999999999" x14ac:dyDescent="0.2">
      <c r="B751" s="20" t="s">
        <v>14</v>
      </c>
      <c r="C751" s="44" t="s">
        <v>15</v>
      </c>
      <c r="D751" s="45"/>
      <c r="E751" s="45"/>
      <c r="F751" s="45"/>
      <c r="G751" s="45"/>
      <c r="H751" s="46"/>
      <c r="I751" s="10"/>
    </row>
    <row r="752" spans="2:11" x14ac:dyDescent="0.2">
      <c r="B752" s="20" t="s">
        <v>16</v>
      </c>
      <c r="C752" s="44" t="s">
        <v>17</v>
      </c>
      <c r="D752" s="45"/>
      <c r="E752" s="45"/>
      <c r="F752" s="45"/>
      <c r="G752" s="45"/>
      <c r="H752" s="46"/>
      <c r="I752" s="10"/>
    </row>
    <row r="753" spans="2:11" x14ac:dyDescent="0.2">
      <c r="B753" s="20" t="s">
        <v>18</v>
      </c>
      <c r="C753" s="47" t="s">
        <v>19</v>
      </c>
      <c r="D753" s="22"/>
      <c r="E753" s="22"/>
      <c r="F753" s="22"/>
      <c r="G753" s="22"/>
      <c r="H753" s="23"/>
      <c r="I753" s="10"/>
    </row>
    <row r="754" spans="2:11" x14ac:dyDescent="0.2">
      <c r="B754" s="30" t="s">
        <v>20</v>
      </c>
      <c r="C754" s="31"/>
      <c r="D754" s="32"/>
      <c r="E754" s="32"/>
      <c r="F754" s="32"/>
      <c r="G754" s="32"/>
      <c r="H754" s="33"/>
      <c r="I754" s="10"/>
    </row>
    <row r="755" spans="2:11" x14ac:dyDescent="0.2">
      <c r="B755" s="34" t="s">
        <v>21</v>
      </c>
      <c r="C755" s="35"/>
      <c r="D755" s="35"/>
      <c r="E755" s="35"/>
      <c r="F755" s="35"/>
      <c r="G755" s="35"/>
      <c r="H755" s="36"/>
      <c r="I755" s="10"/>
    </row>
    <row r="756" spans="2:11" x14ac:dyDescent="0.2">
      <c r="B756" s="37" t="s">
        <v>22</v>
      </c>
      <c r="C756" s="38" t="s">
        <v>23</v>
      </c>
      <c r="D756" s="38"/>
      <c r="E756" s="38"/>
      <c r="F756" s="38"/>
      <c r="G756" s="38"/>
      <c r="H756" s="39"/>
      <c r="I756" s="10"/>
    </row>
    <row r="757" spans="2:11" ht="10.8" thickBot="1" x14ac:dyDescent="0.25">
      <c r="B757" s="40"/>
      <c r="C757" s="41"/>
      <c r="D757" s="41"/>
      <c r="E757" s="41"/>
      <c r="F757" s="41"/>
      <c r="G757" s="41"/>
      <c r="H757" s="41"/>
      <c r="I757" s="42"/>
    </row>
    <row r="758" spans="2:11" ht="10.8" thickTop="1" x14ac:dyDescent="0.2"/>
    <row r="759" spans="2:11" ht="10.8" thickBot="1" x14ac:dyDescent="0.25"/>
    <row r="760" spans="2:11" ht="10.8" thickTop="1" x14ac:dyDescent="0.2">
      <c r="B760" s="4"/>
      <c r="C760" s="4"/>
      <c r="D760" s="4"/>
      <c r="E760" s="4"/>
      <c r="F760" s="4"/>
      <c r="G760" s="4"/>
      <c r="H760" s="4"/>
      <c r="I760" s="5"/>
      <c r="K760" s="2">
        <f>+K739+1</f>
        <v>37</v>
      </c>
    </row>
    <row r="761" spans="2:11" x14ac:dyDescent="0.2">
      <c r="B761" s="7" t="s">
        <v>0</v>
      </c>
      <c r="C761" s="8"/>
      <c r="D761" s="8"/>
      <c r="E761" s="8"/>
      <c r="F761" s="8"/>
      <c r="G761" s="8"/>
      <c r="H761" s="9"/>
      <c r="I761" s="10"/>
    </row>
    <row r="762" spans="2:11" x14ac:dyDescent="0.2">
      <c r="B762" s="11" t="s">
        <v>1</v>
      </c>
      <c r="C762" s="12"/>
      <c r="D762" s="12"/>
      <c r="E762" s="12"/>
      <c r="F762" s="12"/>
      <c r="G762" s="12"/>
      <c r="H762" s="13"/>
      <c r="I762" s="10"/>
    </row>
    <row r="763" spans="2:11" x14ac:dyDescent="0.2">
      <c r="B763" s="11" t="s">
        <v>2</v>
      </c>
      <c r="C763" s="12"/>
      <c r="D763" s="12"/>
      <c r="E763" s="12"/>
      <c r="F763" s="12"/>
      <c r="G763" s="12"/>
      <c r="H763" s="13"/>
      <c r="I763" s="10"/>
    </row>
    <row r="764" spans="2:11" x14ac:dyDescent="0.2">
      <c r="B764" s="14"/>
      <c r="H764" s="15"/>
      <c r="I764" s="10"/>
    </row>
    <row r="765" spans="2:11" x14ac:dyDescent="0.2">
      <c r="B765" s="16" t="s">
        <v>3</v>
      </c>
      <c r="C765" s="17" t="s">
        <v>4</v>
      </c>
      <c r="D765" s="18"/>
      <c r="E765" s="18"/>
      <c r="F765" s="18"/>
      <c r="G765" s="18"/>
      <c r="H765" s="19"/>
      <c r="I765" s="10"/>
    </row>
    <row r="766" spans="2:11" ht="20.399999999999999" x14ac:dyDescent="0.2">
      <c r="B766" s="20" t="s">
        <v>5</v>
      </c>
      <c r="C766" s="21" t="s">
        <v>6</v>
      </c>
      <c r="D766" s="22"/>
      <c r="E766" s="22"/>
      <c r="F766" s="22"/>
      <c r="G766" s="22"/>
      <c r="H766" s="23"/>
      <c r="I766" s="10"/>
    </row>
    <row r="767" spans="2:11" x14ac:dyDescent="0.2">
      <c r="B767" s="20" t="s">
        <v>7</v>
      </c>
      <c r="C767" s="21" t="s">
        <v>8</v>
      </c>
      <c r="D767" s="22"/>
      <c r="E767" s="22"/>
      <c r="F767" s="22"/>
      <c r="G767" s="22"/>
      <c r="H767" s="23"/>
      <c r="I767" s="10"/>
    </row>
    <row r="768" spans="2:11" x14ac:dyDescent="0.2">
      <c r="B768" s="20" t="s">
        <v>9</v>
      </c>
      <c r="C768" s="21" t="s">
        <v>10</v>
      </c>
      <c r="D768" s="22"/>
      <c r="E768" s="22"/>
      <c r="F768" s="22"/>
      <c r="G768" s="22"/>
      <c r="H768" s="23"/>
      <c r="I768" s="10"/>
    </row>
    <row r="769" spans="2:11" x14ac:dyDescent="0.2">
      <c r="B769" s="20" t="s">
        <v>11</v>
      </c>
      <c r="C769" s="24" t="str">
        <f>VLOOKUP(K760,'[1]FORM XIII'!C$14:P985,3,0)</f>
        <v>AKASH</v>
      </c>
      <c r="D769" s="25"/>
      <c r="E769" s="25"/>
      <c r="F769" s="25"/>
      <c r="G769" s="25"/>
      <c r="H769" s="26"/>
      <c r="I769" s="10"/>
    </row>
    <row r="770" spans="2:11" x14ac:dyDescent="0.2">
      <c r="B770" s="20" t="s">
        <v>12</v>
      </c>
      <c r="C770" s="24">
        <f>VLOOKUP(K760,'[1]FORM XIII'!C$14:P985,2,0)</f>
        <v>99134609</v>
      </c>
      <c r="D770" s="25"/>
      <c r="E770" s="25"/>
      <c r="F770" s="25"/>
      <c r="G770" s="25"/>
      <c r="H770" s="26"/>
      <c r="I770" s="10"/>
    </row>
    <row r="771" spans="2:11" x14ac:dyDescent="0.2">
      <c r="B771" s="20" t="s">
        <v>13</v>
      </c>
      <c r="C771" s="24" t="str">
        <f>VLOOKUP(K760,'[1]FORM XIII'!C$14:P985,8,0)</f>
        <v>HELPER</v>
      </c>
      <c r="D771" s="25"/>
      <c r="E771" s="25"/>
      <c r="F771" s="25"/>
      <c r="G771" s="25"/>
      <c r="H771" s="26"/>
      <c r="I771" s="10"/>
    </row>
    <row r="772" spans="2:11" ht="20.399999999999999" x14ac:dyDescent="0.2">
      <c r="B772" s="20" t="s">
        <v>14</v>
      </c>
      <c r="C772" s="44" t="s">
        <v>15</v>
      </c>
      <c r="D772" s="45"/>
      <c r="E772" s="45"/>
      <c r="F772" s="45"/>
      <c r="G772" s="45"/>
      <c r="H772" s="46"/>
      <c r="I772" s="10"/>
    </row>
    <row r="773" spans="2:11" x14ac:dyDescent="0.2">
      <c r="B773" s="20" t="s">
        <v>16</v>
      </c>
      <c r="C773" s="44" t="s">
        <v>17</v>
      </c>
      <c r="D773" s="45"/>
      <c r="E773" s="45"/>
      <c r="F773" s="45"/>
      <c r="G773" s="45"/>
      <c r="H773" s="46"/>
      <c r="I773" s="10"/>
    </row>
    <row r="774" spans="2:11" x14ac:dyDescent="0.2">
      <c r="B774" s="20" t="s">
        <v>18</v>
      </c>
      <c r="C774" s="47" t="s">
        <v>19</v>
      </c>
      <c r="D774" s="22"/>
      <c r="E774" s="22"/>
      <c r="F774" s="22"/>
      <c r="G774" s="22"/>
      <c r="H774" s="23"/>
      <c r="I774" s="10"/>
    </row>
    <row r="775" spans="2:11" x14ac:dyDescent="0.2">
      <c r="B775" s="30" t="s">
        <v>20</v>
      </c>
      <c r="C775" s="31"/>
      <c r="D775" s="32"/>
      <c r="E775" s="32"/>
      <c r="F775" s="32"/>
      <c r="G775" s="32"/>
      <c r="H775" s="33"/>
      <c r="I775" s="10"/>
    </row>
    <row r="776" spans="2:11" x14ac:dyDescent="0.2">
      <c r="B776" s="34" t="s">
        <v>21</v>
      </c>
      <c r="C776" s="35"/>
      <c r="D776" s="35"/>
      <c r="E776" s="35"/>
      <c r="F776" s="35"/>
      <c r="G776" s="35"/>
      <c r="H776" s="36"/>
      <c r="I776" s="10"/>
    </row>
    <row r="777" spans="2:11" x14ac:dyDescent="0.2">
      <c r="B777" s="37" t="s">
        <v>22</v>
      </c>
      <c r="C777" s="38" t="s">
        <v>23</v>
      </c>
      <c r="D777" s="38"/>
      <c r="E777" s="38"/>
      <c r="F777" s="38"/>
      <c r="G777" s="38"/>
      <c r="H777" s="39"/>
      <c r="I777" s="10"/>
    </row>
    <row r="778" spans="2:11" ht="10.8" thickBot="1" x14ac:dyDescent="0.25">
      <c r="B778" s="40"/>
      <c r="C778" s="41"/>
      <c r="D778" s="41"/>
      <c r="E778" s="41"/>
      <c r="F778" s="41"/>
      <c r="G778" s="41"/>
      <c r="H778" s="41"/>
      <c r="I778" s="42"/>
    </row>
    <row r="779" spans="2:11" ht="10.8" thickTop="1" x14ac:dyDescent="0.2"/>
    <row r="780" spans="2:11" ht="10.8" thickBot="1" x14ac:dyDescent="0.25"/>
    <row r="781" spans="2:11" ht="10.8" thickTop="1" x14ac:dyDescent="0.2">
      <c r="B781" s="4"/>
      <c r="C781" s="4"/>
      <c r="D781" s="4"/>
      <c r="E781" s="4"/>
      <c r="F781" s="4"/>
      <c r="G781" s="4"/>
      <c r="H781" s="4"/>
      <c r="I781" s="5"/>
      <c r="J781" s="6"/>
      <c r="K781" s="2">
        <f>+K760+1</f>
        <v>38</v>
      </c>
    </row>
    <row r="782" spans="2:11" x14ac:dyDescent="0.2">
      <c r="B782" s="7" t="s">
        <v>0</v>
      </c>
      <c r="C782" s="8"/>
      <c r="D782" s="8"/>
      <c r="E782" s="8"/>
      <c r="F782" s="8"/>
      <c r="G782" s="8"/>
      <c r="H782" s="9"/>
      <c r="I782" s="10"/>
      <c r="J782" s="6"/>
    </row>
    <row r="783" spans="2:11" x14ac:dyDescent="0.2">
      <c r="B783" s="11" t="s">
        <v>1</v>
      </c>
      <c r="C783" s="12"/>
      <c r="D783" s="12"/>
      <c r="E783" s="12"/>
      <c r="F783" s="12"/>
      <c r="G783" s="12"/>
      <c r="H783" s="13"/>
      <c r="I783" s="10"/>
      <c r="J783" s="6"/>
    </row>
    <row r="784" spans="2:11" x14ac:dyDescent="0.2">
      <c r="B784" s="11" t="s">
        <v>2</v>
      </c>
      <c r="C784" s="12"/>
      <c r="D784" s="12"/>
      <c r="E784" s="12"/>
      <c r="F784" s="12"/>
      <c r="G784" s="12"/>
      <c r="H784" s="13"/>
      <c r="I784" s="10"/>
      <c r="J784" s="6"/>
    </row>
    <row r="785" spans="2:10" x14ac:dyDescent="0.2">
      <c r="B785" s="14"/>
      <c r="H785" s="15"/>
      <c r="I785" s="10"/>
      <c r="J785" s="6"/>
    </row>
    <row r="786" spans="2:10" x14ac:dyDescent="0.2">
      <c r="B786" s="16" t="s">
        <v>3</v>
      </c>
      <c r="C786" s="17" t="s">
        <v>4</v>
      </c>
      <c r="D786" s="18"/>
      <c r="E786" s="18"/>
      <c r="F786" s="18"/>
      <c r="G786" s="18"/>
      <c r="H786" s="19"/>
      <c r="I786" s="10"/>
      <c r="J786" s="6"/>
    </row>
    <row r="787" spans="2:10" ht="20.399999999999999" x14ac:dyDescent="0.2">
      <c r="B787" s="20" t="s">
        <v>5</v>
      </c>
      <c r="C787" s="21" t="s">
        <v>6</v>
      </c>
      <c r="D787" s="22"/>
      <c r="E787" s="22"/>
      <c r="F787" s="22"/>
      <c r="G787" s="22"/>
      <c r="H787" s="23"/>
      <c r="I787" s="10"/>
      <c r="J787" s="6"/>
    </row>
    <row r="788" spans="2:10" x14ac:dyDescent="0.2">
      <c r="B788" s="20" t="s">
        <v>7</v>
      </c>
      <c r="C788" s="21" t="s">
        <v>8</v>
      </c>
      <c r="D788" s="22"/>
      <c r="E788" s="22"/>
      <c r="F788" s="22"/>
      <c r="G788" s="22"/>
      <c r="H788" s="23"/>
      <c r="I788" s="10"/>
      <c r="J788" s="6"/>
    </row>
    <row r="789" spans="2:10" x14ac:dyDescent="0.2">
      <c r="B789" s="20" t="s">
        <v>9</v>
      </c>
      <c r="C789" s="21" t="s">
        <v>10</v>
      </c>
      <c r="D789" s="22"/>
      <c r="E789" s="22"/>
      <c r="F789" s="22"/>
      <c r="G789" s="22"/>
      <c r="H789" s="23"/>
      <c r="I789" s="10"/>
      <c r="J789" s="6"/>
    </row>
    <row r="790" spans="2:10" x14ac:dyDescent="0.2">
      <c r="B790" s="20" t="s">
        <v>11</v>
      </c>
      <c r="C790" s="24" t="str">
        <f>VLOOKUP(K781,'[1]FORM XIII'!C$14:P1006,3,0)</f>
        <v>SUMIT KUMAR</v>
      </c>
      <c r="D790" s="25"/>
      <c r="E790" s="25"/>
      <c r="F790" s="25"/>
      <c r="G790" s="25"/>
      <c r="H790" s="26"/>
      <c r="I790" s="10"/>
      <c r="J790" s="6"/>
    </row>
    <row r="791" spans="2:10" x14ac:dyDescent="0.2">
      <c r="B791" s="20" t="s">
        <v>12</v>
      </c>
      <c r="C791" s="24">
        <f>VLOOKUP(K781,'[1]FORM XIII'!C$14:P1006,2,0)</f>
        <v>99134667</v>
      </c>
      <c r="D791" s="25"/>
      <c r="E791" s="25"/>
      <c r="F791" s="25"/>
      <c r="G791" s="25"/>
      <c r="H791" s="26"/>
      <c r="I791" s="10"/>
      <c r="J791" s="6"/>
    </row>
    <row r="792" spans="2:10" x14ac:dyDescent="0.2">
      <c r="B792" s="20" t="s">
        <v>13</v>
      </c>
      <c r="C792" s="24" t="str">
        <f>VLOOKUP(K781,'[1]FORM XIII'!C$14:P1006,8,0)</f>
        <v>HELPER</v>
      </c>
      <c r="D792" s="25"/>
      <c r="E792" s="25"/>
      <c r="F792" s="25"/>
      <c r="G792" s="25"/>
      <c r="H792" s="26"/>
      <c r="I792" s="10"/>
      <c r="J792" s="6"/>
    </row>
    <row r="793" spans="2:10" ht="20.399999999999999" x14ac:dyDescent="0.2">
      <c r="B793" s="20" t="s">
        <v>14</v>
      </c>
      <c r="C793" s="44" t="s">
        <v>15</v>
      </c>
      <c r="D793" s="45"/>
      <c r="E793" s="45"/>
      <c r="F793" s="45"/>
      <c r="G793" s="45"/>
      <c r="H793" s="46"/>
      <c r="I793" s="10"/>
      <c r="J793" s="6"/>
    </row>
    <row r="794" spans="2:10" x14ac:dyDescent="0.2">
      <c r="B794" s="20" t="s">
        <v>16</v>
      </c>
      <c r="C794" s="44" t="s">
        <v>17</v>
      </c>
      <c r="D794" s="45"/>
      <c r="E794" s="45"/>
      <c r="F794" s="45"/>
      <c r="G794" s="45"/>
      <c r="H794" s="46"/>
      <c r="I794" s="10"/>
      <c r="J794" s="6"/>
    </row>
    <row r="795" spans="2:10" x14ac:dyDescent="0.2">
      <c r="B795" s="20" t="s">
        <v>18</v>
      </c>
      <c r="C795" s="47" t="s">
        <v>19</v>
      </c>
      <c r="D795" s="22"/>
      <c r="E795" s="22"/>
      <c r="F795" s="22"/>
      <c r="G795" s="22"/>
      <c r="H795" s="23"/>
      <c r="I795" s="10"/>
      <c r="J795" s="6"/>
    </row>
    <row r="796" spans="2:10" x14ac:dyDescent="0.2">
      <c r="B796" s="30" t="s">
        <v>20</v>
      </c>
      <c r="C796" s="31"/>
      <c r="D796" s="32"/>
      <c r="E796" s="32"/>
      <c r="F796" s="32"/>
      <c r="G796" s="32"/>
      <c r="H796" s="33"/>
      <c r="I796" s="10"/>
      <c r="J796" s="6"/>
    </row>
    <row r="797" spans="2:10" x14ac:dyDescent="0.2">
      <c r="B797" s="34" t="s">
        <v>21</v>
      </c>
      <c r="C797" s="35"/>
      <c r="D797" s="35"/>
      <c r="E797" s="35"/>
      <c r="F797" s="35"/>
      <c r="G797" s="35"/>
      <c r="H797" s="36"/>
      <c r="I797" s="10"/>
      <c r="J797" s="6"/>
    </row>
    <row r="798" spans="2:10" x14ac:dyDescent="0.2">
      <c r="B798" s="37" t="s">
        <v>22</v>
      </c>
      <c r="C798" s="38" t="s">
        <v>23</v>
      </c>
      <c r="D798" s="38"/>
      <c r="E798" s="38"/>
      <c r="F798" s="38"/>
      <c r="G798" s="38"/>
      <c r="H798" s="39"/>
      <c r="I798" s="10"/>
      <c r="J798" s="6"/>
    </row>
    <row r="799" spans="2:10" ht="10.8" thickBot="1" x14ac:dyDescent="0.25">
      <c r="B799" s="40"/>
      <c r="C799" s="41"/>
      <c r="D799" s="41"/>
      <c r="E799" s="41"/>
      <c r="F799" s="41"/>
      <c r="G799" s="41"/>
      <c r="H799" s="41"/>
      <c r="I799" s="42"/>
      <c r="J799" s="6"/>
    </row>
    <row r="800" spans="2:10" ht="10.8" thickTop="1" x14ac:dyDescent="0.2">
      <c r="J800" s="6"/>
    </row>
    <row r="801" spans="2:11" ht="10.8" thickBot="1" x14ac:dyDescent="0.25"/>
    <row r="802" spans="2:11" ht="10.8" thickTop="1" x14ac:dyDescent="0.2">
      <c r="B802" s="4"/>
      <c r="C802" s="4"/>
      <c r="D802" s="4"/>
      <c r="E802" s="4"/>
      <c r="F802" s="4"/>
      <c r="G802" s="4"/>
      <c r="H802" s="4"/>
      <c r="I802" s="5"/>
      <c r="K802" s="2">
        <f>+K781+1</f>
        <v>39</v>
      </c>
    </row>
    <row r="803" spans="2:11" x14ac:dyDescent="0.2">
      <c r="B803" s="7" t="s">
        <v>0</v>
      </c>
      <c r="C803" s="8"/>
      <c r="D803" s="8"/>
      <c r="E803" s="8"/>
      <c r="F803" s="8"/>
      <c r="G803" s="8"/>
      <c r="H803" s="9"/>
      <c r="I803" s="10"/>
    </row>
    <row r="804" spans="2:11" x14ac:dyDescent="0.2">
      <c r="B804" s="11" t="s">
        <v>1</v>
      </c>
      <c r="C804" s="12"/>
      <c r="D804" s="12"/>
      <c r="E804" s="12"/>
      <c r="F804" s="12"/>
      <c r="G804" s="12"/>
      <c r="H804" s="13"/>
      <c r="I804" s="10"/>
    </row>
    <row r="805" spans="2:11" x14ac:dyDescent="0.2">
      <c r="B805" s="11" t="s">
        <v>2</v>
      </c>
      <c r="C805" s="12"/>
      <c r="D805" s="12"/>
      <c r="E805" s="12"/>
      <c r="F805" s="12"/>
      <c r="G805" s="12"/>
      <c r="H805" s="13"/>
      <c r="I805" s="10"/>
    </row>
    <row r="806" spans="2:11" x14ac:dyDescent="0.2">
      <c r="B806" s="14"/>
      <c r="H806" s="15"/>
      <c r="I806" s="10"/>
    </row>
    <row r="807" spans="2:11" x14ac:dyDescent="0.2">
      <c r="B807" s="16" t="s">
        <v>3</v>
      </c>
      <c r="C807" s="17" t="s">
        <v>4</v>
      </c>
      <c r="D807" s="18"/>
      <c r="E807" s="18"/>
      <c r="F807" s="18"/>
      <c r="G807" s="18"/>
      <c r="H807" s="19"/>
      <c r="I807" s="10"/>
    </row>
    <row r="808" spans="2:11" ht="20.399999999999999" x14ac:dyDescent="0.2">
      <c r="B808" s="20" t="s">
        <v>5</v>
      </c>
      <c r="C808" s="21" t="s">
        <v>6</v>
      </c>
      <c r="D808" s="22"/>
      <c r="E808" s="22"/>
      <c r="F808" s="22"/>
      <c r="G808" s="22"/>
      <c r="H808" s="23"/>
      <c r="I808" s="10"/>
    </row>
    <row r="809" spans="2:11" x14ac:dyDescent="0.2">
      <c r="B809" s="20" t="s">
        <v>7</v>
      </c>
      <c r="C809" s="21" t="s">
        <v>8</v>
      </c>
      <c r="D809" s="22"/>
      <c r="E809" s="22"/>
      <c r="F809" s="22"/>
      <c r="G809" s="22"/>
      <c r="H809" s="23"/>
      <c r="I809" s="10"/>
    </row>
    <row r="810" spans="2:11" x14ac:dyDescent="0.2">
      <c r="B810" s="20" t="s">
        <v>9</v>
      </c>
      <c r="C810" s="21" t="s">
        <v>10</v>
      </c>
      <c r="D810" s="22"/>
      <c r="E810" s="22"/>
      <c r="F810" s="22"/>
      <c r="G810" s="22"/>
      <c r="H810" s="23"/>
      <c r="I810" s="10"/>
    </row>
    <row r="811" spans="2:11" x14ac:dyDescent="0.2">
      <c r="B811" s="20" t="s">
        <v>11</v>
      </c>
      <c r="C811" s="24" t="str">
        <f>VLOOKUP(K802,'[1]FORM XIII'!C$14:P1027,3,0)</f>
        <v>ASHISH KUMAR</v>
      </c>
      <c r="D811" s="25"/>
      <c r="E811" s="25"/>
      <c r="F811" s="25"/>
      <c r="G811" s="25"/>
      <c r="H811" s="26"/>
      <c r="I811" s="10"/>
    </row>
    <row r="812" spans="2:11" x14ac:dyDescent="0.2">
      <c r="B812" s="20" t="s">
        <v>12</v>
      </c>
      <c r="C812" s="24">
        <f>VLOOKUP(K802,'[1]FORM XIII'!C$14:P1027,2,0)</f>
        <v>99134670</v>
      </c>
      <c r="D812" s="25"/>
      <c r="E812" s="25"/>
      <c r="F812" s="25"/>
      <c r="G812" s="25"/>
      <c r="H812" s="26"/>
      <c r="I812" s="10"/>
    </row>
    <row r="813" spans="2:11" x14ac:dyDescent="0.2">
      <c r="B813" s="20" t="s">
        <v>13</v>
      </c>
      <c r="C813" s="24" t="str">
        <f>VLOOKUP(K802,'[1]FORM XIII'!C$14:P1027,8,0)</f>
        <v>HELPER</v>
      </c>
      <c r="D813" s="25"/>
      <c r="E813" s="25"/>
      <c r="F813" s="25"/>
      <c r="G813" s="25"/>
      <c r="H813" s="26"/>
      <c r="I813" s="10"/>
    </row>
    <row r="814" spans="2:11" ht="20.399999999999999" x14ac:dyDescent="0.2">
      <c r="B814" s="20" t="s">
        <v>14</v>
      </c>
      <c r="C814" s="44" t="s">
        <v>15</v>
      </c>
      <c r="D814" s="45"/>
      <c r="E814" s="45"/>
      <c r="F814" s="45"/>
      <c r="G814" s="45"/>
      <c r="H814" s="46"/>
      <c r="I814" s="10"/>
    </row>
    <row r="815" spans="2:11" x14ac:dyDescent="0.2">
      <c r="B815" s="20" t="s">
        <v>16</v>
      </c>
      <c r="C815" s="44" t="s">
        <v>17</v>
      </c>
      <c r="D815" s="45"/>
      <c r="E815" s="45"/>
      <c r="F815" s="45"/>
      <c r="G815" s="45"/>
      <c r="H815" s="46"/>
      <c r="I815" s="10"/>
    </row>
    <row r="816" spans="2:11" x14ac:dyDescent="0.2">
      <c r="B816" s="20" t="s">
        <v>18</v>
      </c>
      <c r="C816" s="47" t="s">
        <v>19</v>
      </c>
      <c r="D816" s="22"/>
      <c r="E816" s="22"/>
      <c r="F816" s="22"/>
      <c r="G816" s="22"/>
      <c r="H816" s="23"/>
      <c r="I816" s="10"/>
    </row>
    <row r="817" spans="2:11" x14ac:dyDescent="0.2">
      <c r="B817" s="30" t="s">
        <v>20</v>
      </c>
      <c r="C817" s="31"/>
      <c r="D817" s="32"/>
      <c r="E817" s="32"/>
      <c r="F817" s="32"/>
      <c r="G817" s="32"/>
      <c r="H817" s="33"/>
      <c r="I817" s="10"/>
    </row>
    <row r="818" spans="2:11" x14ac:dyDescent="0.2">
      <c r="B818" s="34" t="s">
        <v>21</v>
      </c>
      <c r="C818" s="35"/>
      <c r="D818" s="35"/>
      <c r="E818" s="35"/>
      <c r="F818" s="35"/>
      <c r="G818" s="35"/>
      <c r="H818" s="36"/>
      <c r="I818" s="10"/>
    </row>
    <row r="819" spans="2:11" x14ac:dyDescent="0.2">
      <c r="B819" s="37" t="s">
        <v>22</v>
      </c>
      <c r="C819" s="38" t="s">
        <v>23</v>
      </c>
      <c r="D819" s="38"/>
      <c r="E819" s="38"/>
      <c r="F819" s="38"/>
      <c r="G819" s="38"/>
      <c r="H819" s="39"/>
      <c r="I819" s="10"/>
    </row>
    <row r="820" spans="2:11" ht="10.8" thickBot="1" x14ac:dyDescent="0.25">
      <c r="B820" s="40"/>
      <c r="C820" s="41"/>
      <c r="D820" s="41"/>
      <c r="E820" s="41"/>
      <c r="F820" s="41"/>
      <c r="G820" s="41"/>
      <c r="H820" s="41"/>
      <c r="I820" s="42"/>
    </row>
    <row r="821" spans="2:11" ht="10.8" thickTop="1" x14ac:dyDescent="0.2"/>
    <row r="822" spans="2:11" ht="10.8" thickBot="1" x14ac:dyDescent="0.25"/>
    <row r="823" spans="2:11" ht="10.8" thickTop="1" x14ac:dyDescent="0.2">
      <c r="B823" s="4"/>
      <c r="C823" s="4"/>
      <c r="D823" s="4"/>
      <c r="E823" s="4"/>
      <c r="F823" s="4"/>
      <c r="G823" s="4"/>
      <c r="H823" s="4"/>
      <c r="I823" s="5"/>
      <c r="K823" s="2">
        <f>+K802+1</f>
        <v>40</v>
      </c>
    </row>
    <row r="824" spans="2:11" x14ac:dyDescent="0.2">
      <c r="B824" s="7" t="s">
        <v>0</v>
      </c>
      <c r="C824" s="8"/>
      <c r="D824" s="8"/>
      <c r="E824" s="8"/>
      <c r="F824" s="8"/>
      <c r="G824" s="8"/>
      <c r="H824" s="9"/>
      <c r="I824" s="10"/>
    </row>
    <row r="825" spans="2:11" x14ac:dyDescent="0.2">
      <c r="B825" s="11" t="s">
        <v>1</v>
      </c>
      <c r="C825" s="12"/>
      <c r="D825" s="12"/>
      <c r="E825" s="12"/>
      <c r="F825" s="12"/>
      <c r="G825" s="12"/>
      <c r="H825" s="13"/>
      <c r="I825" s="10"/>
    </row>
    <row r="826" spans="2:11" x14ac:dyDescent="0.2">
      <c r="B826" s="11" t="s">
        <v>2</v>
      </c>
      <c r="C826" s="12"/>
      <c r="D826" s="12"/>
      <c r="E826" s="12"/>
      <c r="F826" s="12"/>
      <c r="G826" s="12"/>
      <c r="H826" s="13"/>
      <c r="I826" s="10"/>
    </row>
    <row r="827" spans="2:11" x14ac:dyDescent="0.2">
      <c r="B827" s="14"/>
      <c r="H827" s="15"/>
      <c r="I827" s="10"/>
    </row>
    <row r="828" spans="2:11" x14ac:dyDescent="0.2">
      <c r="B828" s="16" t="s">
        <v>3</v>
      </c>
      <c r="C828" s="17" t="s">
        <v>4</v>
      </c>
      <c r="D828" s="18"/>
      <c r="E828" s="18"/>
      <c r="F828" s="18"/>
      <c r="G828" s="18"/>
      <c r="H828" s="19"/>
      <c r="I828" s="10"/>
    </row>
    <row r="829" spans="2:11" ht="20.399999999999999" x14ac:dyDescent="0.2">
      <c r="B829" s="20" t="s">
        <v>5</v>
      </c>
      <c r="C829" s="21" t="s">
        <v>6</v>
      </c>
      <c r="D829" s="22"/>
      <c r="E829" s="22"/>
      <c r="F829" s="22"/>
      <c r="G829" s="22"/>
      <c r="H829" s="23"/>
      <c r="I829" s="10"/>
    </row>
    <row r="830" spans="2:11" x14ac:dyDescent="0.2">
      <c r="B830" s="20" t="s">
        <v>7</v>
      </c>
      <c r="C830" s="21" t="s">
        <v>8</v>
      </c>
      <c r="D830" s="22"/>
      <c r="E830" s="22"/>
      <c r="F830" s="22"/>
      <c r="G830" s="22"/>
      <c r="H830" s="23"/>
      <c r="I830" s="10"/>
    </row>
    <row r="831" spans="2:11" x14ac:dyDescent="0.2">
      <c r="B831" s="20" t="s">
        <v>9</v>
      </c>
      <c r="C831" s="21" t="s">
        <v>10</v>
      </c>
      <c r="D831" s="22"/>
      <c r="E831" s="22"/>
      <c r="F831" s="22"/>
      <c r="G831" s="22"/>
      <c r="H831" s="23"/>
      <c r="I831" s="10"/>
    </row>
    <row r="832" spans="2:11" x14ac:dyDescent="0.2">
      <c r="B832" s="20" t="s">
        <v>11</v>
      </c>
      <c r="C832" s="24" t="str">
        <f>VLOOKUP(K823,'[1]FORM XIII'!C$14:P1048,3,0)</f>
        <v>BINTU</v>
      </c>
      <c r="D832" s="25"/>
      <c r="E832" s="25"/>
      <c r="F832" s="25"/>
      <c r="G832" s="25"/>
      <c r="H832" s="26"/>
      <c r="I832" s="10"/>
    </row>
    <row r="833" spans="2:11" x14ac:dyDescent="0.2">
      <c r="B833" s="20" t="s">
        <v>12</v>
      </c>
      <c r="C833" s="24">
        <f>VLOOKUP(K823,'[1]FORM XIII'!C$14:P1048,2,0)</f>
        <v>99134827</v>
      </c>
      <c r="D833" s="25"/>
      <c r="E833" s="25"/>
      <c r="F833" s="25"/>
      <c r="G833" s="25"/>
      <c r="H833" s="26"/>
      <c r="I833" s="10"/>
    </row>
    <row r="834" spans="2:11" x14ac:dyDescent="0.2">
      <c r="B834" s="20" t="s">
        <v>13</v>
      </c>
      <c r="C834" s="24" t="str">
        <f>VLOOKUP(K823,'[1]FORM XIII'!C$14:P1048,8,0)</f>
        <v>HELPER</v>
      </c>
      <c r="D834" s="25"/>
      <c r="E834" s="25"/>
      <c r="F834" s="25"/>
      <c r="G834" s="25"/>
      <c r="H834" s="26"/>
      <c r="I834" s="10"/>
    </row>
    <row r="835" spans="2:11" ht="20.399999999999999" x14ac:dyDescent="0.2">
      <c r="B835" s="20" t="s">
        <v>14</v>
      </c>
      <c r="C835" s="44" t="s">
        <v>15</v>
      </c>
      <c r="D835" s="45"/>
      <c r="E835" s="45"/>
      <c r="F835" s="45"/>
      <c r="G835" s="45"/>
      <c r="H835" s="46"/>
      <c r="I835" s="10"/>
    </row>
    <row r="836" spans="2:11" x14ac:dyDescent="0.2">
      <c r="B836" s="20" t="s">
        <v>16</v>
      </c>
      <c r="C836" s="44" t="s">
        <v>17</v>
      </c>
      <c r="D836" s="45"/>
      <c r="E836" s="45"/>
      <c r="F836" s="45"/>
      <c r="G836" s="45"/>
      <c r="H836" s="46"/>
      <c r="I836" s="10"/>
    </row>
    <row r="837" spans="2:11" x14ac:dyDescent="0.2">
      <c r="B837" s="20" t="s">
        <v>18</v>
      </c>
      <c r="C837" s="47" t="s">
        <v>19</v>
      </c>
      <c r="D837" s="22"/>
      <c r="E837" s="22"/>
      <c r="F837" s="22"/>
      <c r="G837" s="22"/>
      <c r="H837" s="23"/>
      <c r="I837" s="10"/>
    </row>
    <row r="838" spans="2:11" x14ac:dyDescent="0.2">
      <c r="B838" s="30" t="s">
        <v>20</v>
      </c>
      <c r="C838" s="31"/>
      <c r="D838" s="32"/>
      <c r="E838" s="32"/>
      <c r="F838" s="32"/>
      <c r="G838" s="32"/>
      <c r="H838" s="33"/>
      <c r="I838" s="10"/>
    </row>
    <row r="839" spans="2:11" x14ac:dyDescent="0.2">
      <c r="B839" s="34" t="s">
        <v>21</v>
      </c>
      <c r="C839" s="35"/>
      <c r="D839" s="35"/>
      <c r="E839" s="35"/>
      <c r="F839" s="35"/>
      <c r="G839" s="35"/>
      <c r="H839" s="36"/>
      <c r="I839" s="10"/>
    </row>
    <row r="840" spans="2:11" x14ac:dyDescent="0.2">
      <c r="B840" s="37" t="s">
        <v>22</v>
      </c>
      <c r="C840" s="38" t="s">
        <v>23</v>
      </c>
      <c r="D840" s="38"/>
      <c r="E840" s="38"/>
      <c r="F840" s="38"/>
      <c r="G840" s="38"/>
      <c r="H840" s="39"/>
      <c r="I840" s="10"/>
    </row>
    <row r="841" spans="2:11" ht="10.8" thickBot="1" x14ac:dyDescent="0.25">
      <c r="B841" s="40"/>
      <c r="C841" s="41"/>
      <c r="D841" s="41"/>
      <c r="E841" s="41"/>
      <c r="F841" s="41"/>
      <c r="G841" s="41"/>
      <c r="H841" s="41"/>
      <c r="I841" s="42"/>
    </row>
    <row r="842" spans="2:11" ht="10.8" thickTop="1" x14ac:dyDescent="0.2"/>
    <row r="843" spans="2:11" ht="10.8" thickBot="1" x14ac:dyDescent="0.25"/>
    <row r="844" spans="2:11" ht="10.8" thickTop="1" x14ac:dyDescent="0.2">
      <c r="B844" s="4"/>
      <c r="C844" s="4"/>
      <c r="D844" s="4"/>
      <c r="E844" s="4"/>
      <c r="F844" s="4"/>
      <c r="G844" s="4"/>
      <c r="H844" s="4"/>
      <c r="I844" s="5"/>
      <c r="K844" s="2">
        <f>+K823+1</f>
        <v>41</v>
      </c>
    </row>
    <row r="845" spans="2:11" x14ac:dyDescent="0.2">
      <c r="B845" s="7" t="s">
        <v>0</v>
      </c>
      <c r="C845" s="8"/>
      <c r="D845" s="8"/>
      <c r="E845" s="8"/>
      <c r="F845" s="8"/>
      <c r="G845" s="8"/>
      <c r="H845" s="9"/>
      <c r="I845" s="10"/>
    </row>
    <row r="846" spans="2:11" x14ac:dyDescent="0.2">
      <c r="B846" s="11" t="s">
        <v>1</v>
      </c>
      <c r="C846" s="12"/>
      <c r="D846" s="12"/>
      <c r="E846" s="12"/>
      <c r="F846" s="12"/>
      <c r="G846" s="12"/>
      <c r="H846" s="13"/>
      <c r="I846" s="10"/>
    </row>
    <row r="847" spans="2:11" x14ac:dyDescent="0.2">
      <c r="B847" s="11" t="s">
        <v>2</v>
      </c>
      <c r="C847" s="12"/>
      <c r="D847" s="12"/>
      <c r="E847" s="12"/>
      <c r="F847" s="12"/>
      <c r="G847" s="12"/>
      <c r="H847" s="13"/>
      <c r="I847" s="10"/>
    </row>
    <row r="848" spans="2:11" x14ac:dyDescent="0.2">
      <c r="B848" s="14"/>
      <c r="H848" s="15"/>
      <c r="I848" s="10"/>
    </row>
    <row r="849" spans="2:9" x14ac:dyDescent="0.2">
      <c r="B849" s="16" t="s">
        <v>3</v>
      </c>
      <c r="C849" s="17" t="s">
        <v>4</v>
      </c>
      <c r="D849" s="18"/>
      <c r="E849" s="18"/>
      <c r="F849" s="18"/>
      <c r="G849" s="18"/>
      <c r="H849" s="19"/>
      <c r="I849" s="10"/>
    </row>
    <row r="850" spans="2:9" ht="20.399999999999999" x14ac:dyDescent="0.2">
      <c r="B850" s="20" t="s">
        <v>5</v>
      </c>
      <c r="C850" s="21" t="s">
        <v>6</v>
      </c>
      <c r="D850" s="22"/>
      <c r="E850" s="22"/>
      <c r="F850" s="22"/>
      <c r="G850" s="22"/>
      <c r="H850" s="23"/>
      <c r="I850" s="10"/>
    </row>
    <row r="851" spans="2:9" x14ac:dyDescent="0.2">
      <c r="B851" s="20" t="s">
        <v>7</v>
      </c>
      <c r="C851" s="21" t="s">
        <v>8</v>
      </c>
      <c r="D851" s="22"/>
      <c r="E851" s="22"/>
      <c r="F851" s="22"/>
      <c r="G851" s="22"/>
      <c r="H851" s="23"/>
      <c r="I851" s="10"/>
    </row>
    <row r="852" spans="2:9" x14ac:dyDescent="0.2">
      <c r="B852" s="20" t="s">
        <v>9</v>
      </c>
      <c r="C852" s="21" t="s">
        <v>10</v>
      </c>
      <c r="D852" s="22"/>
      <c r="E852" s="22"/>
      <c r="F852" s="22"/>
      <c r="G852" s="22"/>
      <c r="H852" s="23"/>
      <c r="I852" s="10"/>
    </row>
    <row r="853" spans="2:9" x14ac:dyDescent="0.2">
      <c r="B853" s="20" t="s">
        <v>11</v>
      </c>
      <c r="C853" s="24" t="str">
        <f>VLOOKUP(K844,'[1]FORM XIII'!C$14:P1069,3,0)</f>
        <v>SAGAR KASHYAP</v>
      </c>
      <c r="D853" s="25"/>
      <c r="E853" s="25"/>
      <c r="F853" s="25"/>
      <c r="G853" s="25"/>
      <c r="H853" s="26"/>
      <c r="I853" s="10"/>
    </row>
    <row r="854" spans="2:9" x14ac:dyDescent="0.2">
      <c r="B854" s="20" t="s">
        <v>12</v>
      </c>
      <c r="C854" s="24">
        <f>VLOOKUP(K844,'[1]FORM XIII'!C$14:P1069,2,0)</f>
        <v>99134829</v>
      </c>
      <c r="D854" s="25"/>
      <c r="E854" s="25"/>
      <c r="F854" s="25"/>
      <c r="G854" s="25"/>
      <c r="H854" s="26"/>
      <c r="I854" s="10"/>
    </row>
    <row r="855" spans="2:9" x14ac:dyDescent="0.2">
      <c r="B855" s="20" t="s">
        <v>13</v>
      </c>
      <c r="C855" s="24" t="str">
        <f>VLOOKUP(K844,'[1]FORM XIII'!C$14:P1069,8,0)</f>
        <v>HELPER</v>
      </c>
      <c r="D855" s="25"/>
      <c r="E855" s="25"/>
      <c r="F855" s="25"/>
      <c r="G855" s="25"/>
      <c r="H855" s="26"/>
      <c r="I855" s="10"/>
    </row>
    <row r="856" spans="2:9" ht="20.399999999999999" x14ac:dyDescent="0.2">
      <c r="B856" s="20" t="s">
        <v>14</v>
      </c>
      <c r="C856" s="44" t="s">
        <v>15</v>
      </c>
      <c r="D856" s="45"/>
      <c r="E856" s="45"/>
      <c r="F856" s="45"/>
      <c r="G856" s="45"/>
      <c r="H856" s="46"/>
      <c r="I856" s="10"/>
    </row>
    <row r="857" spans="2:9" x14ac:dyDescent="0.2">
      <c r="B857" s="20" t="s">
        <v>16</v>
      </c>
      <c r="C857" s="44" t="s">
        <v>17</v>
      </c>
      <c r="D857" s="45"/>
      <c r="E857" s="45"/>
      <c r="F857" s="45"/>
      <c r="G857" s="45"/>
      <c r="H857" s="46"/>
      <c r="I857" s="10"/>
    </row>
    <row r="858" spans="2:9" x14ac:dyDescent="0.2">
      <c r="B858" s="20" t="s">
        <v>18</v>
      </c>
      <c r="C858" s="47" t="s">
        <v>19</v>
      </c>
      <c r="D858" s="22"/>
      <c r="E858" s="22"/>
      <c r="F858" s="22"/>
      <c r="G858" s="22"/>
      <c r="H858" s="23"/>
      <c r="I858" s="10"/>
    </row>
    <row r="859" spans="2:9" x14ac:dyDescent="0.2">
      <c r="B859" s="30" t="s">
        <v>20</v>
      </c>
      <c r="C859" s="31"/>
      <c r="D859" s="32"/>
      <c r="E859" s="32"/>
      <c r="F859" s="32"/>
      <c r="G859" s="32"/>
      <c r="H859" s="33"/>
      <c r="I859" s="10"/>
    </row>
    <row r="860" spans="2:9" x14ac:dyDescent="0.2">
      <c r="B860" s="34" t="s">
        <v>21</v>
      </c>
      <c r="C860" s="35"/>
      <c r="D860" s="35"/>
      <c r="E860" s="35"/>
      <c r="F860" s="35"/>
      <c r="G860" s="35"/>
      <c r="H860" s="36"/>
      <c r="I860" s="10"/>
    </row>
    <row r="861" spans="2:9" x14ac:dyDescent="0.2">
      <c r="B861" s="37" t="s">
        <v>22</v>
      </c>
      <c r="C861" s="38" t="s">
        <v>23</v>
      </c>
      <c r="D861" s="38"/>
      <c r="E861" s="38"/>
      <c r="F861" s="38"/>
      <c r="G861" s="38"/>
      <c r="H861" s="39"/>
      <c r="I861" s="10"/>
    </row>
    <row r="862" spans="2:9" ht="10.8" thickBot="1" x14ac:dyDescent="0.25">
      <c r="B862" s="40"/>
      <c r="C862" s="41"/>
      <c r="D862" s="41"/>
      <c r="E862" s="41"/>
      <c r="F862" s="41"/>
      <c r="G862" s="41"/>
      <c r="H862" s="41"/>
      <c r="I862" s="42"/>
    </row>
    <row r="863" spans="2:9" ht="10.8" thickTop="1" x14ac:dyDescent="0.2"/>
    <row r="864" spans="2:9" ht="10.8" thickBot="1" x14ac:dyDescent="0.25"/>
    <row r="865" spans="2:11" ht="10.8" thickTop="1" x14ac:dyDescent="0.2">
      <c r="B865" s="4"/>
      <c r="C865" s="4"/>
      <c r="D865" s="4"/>
      <c r="E865" s="4"/>
      <c r="F865" s="4"/>
      <c r="G865" s="4"/>
      <c r="H865" s="4"/>
      <c r="I865" s="5"/>
      <c r="K865" s="2">
        <f>+K844+1</f>
        <v>42</v>
      </c>
    </row>
    <row r="866" spans="2:11" x14ac:dyDescent="0.2">
      <c r="B866" s="7" t="s">
        <v>0</v>
      </c>
      <c r="C866" s="8"/>
      <c r="D866" s="8"/>
      <c r="E866" s="8"/>
      <c r="F866" s="8"/>
      <c r="G866" s="8"/>
      <c r="H866" s="9"/>
      <c r="I866" s="10"/>
    </row>
    <row r="867" spans="2:11" x14ac:dyDescent="0.2">
      <c r="B867" s="11" t="s">
        <v>1</v>
      </c>
      <c r="C867" s="12"/>
      <c r="D867" s="12"/>
      <c r="E867" s="12"/>
      <c r="F867" s="12"/>
      <c r="G867" s="12"/>
      <c r="H867" s="13"/>
      <c r="I867" s="10"/>
    </row>
    <row r="868" spans="2:11" x14ac:dyDescent="0.2">
      <c r="B868" s="11" t="s">
        <v>2</v>
      </c>
      <c r="C868" s="12"/>
      <c r="D868" s="12"/>
      <c r="E868" s="12"/>
      <c r="F868" s="12"/>
      <c r="G868" s="12"/>
      <c r="H868" s="13"/>
      <c r="I868" s="10"/>
    </row>
    <row r="869" spans="2:11" x14ac:dyDescent="0.2">
      <c r="B869" s="14"/>
      <c r="H869" s="15"/>
      <c r="I869" s="10"/>
    </row>
    <row r="870" spans="2:11" x14ac:dyDescent="0.2">
      <c r="B870" s="16" t="s">
        <v>3</v>
      </c>
      <c r="C870" s="17" t="s">
        <v>4</v>
      </c>
      <c r="D870" s="18"/>
      <c r="E870" s="18"/>
      <c r="F870" s="18"/>
      <c r="G870" s="18"/>
      <c r="H870" s="19"/>
      <c r="I870" s="10"/>
    </row>
    <row r="871" spans="2:11" ht="20.399999999999999" x14ac:dyDescent="0.2">
      <c r="B871" s="20" t="s">
        <v>5</v>
      </c>
      <c r="C871" s="21" t="s">
        <v>6</v>
      </c>
      <c r="D871" s="22"/>
      <c r="E871" s="22"/>
      <c r="F871" s="22"/>
      <c r="G871" s="22"/>
      <c r="H871" s="23"/>
      <c r="I871" s="10"/>
    </row>
    <row r="872" spans="2:11" x14ac:dyDescent="0.2">
      <c r="B872" s="20" t="s">
        <v>7</v>
      </c>
      <c r="C872" s="21" t="s">
        <v>8</v>
      </c>
      <c r="D872" s="22"/>
      <c r="E872" s="22"/>
      <c r="F872" s="22"/>
      <c r="G872" s="22"/>
      <c r="H872" s="23"/>
      <c r="I872" s="10"/>
    </row>
    <row r="873" spans="2:11" x14ac:dyDescent="0.2">
      <c r="B873" s="20" t="s">
        <v>9</v>
      </c>
      <c r="C873" s="21" t="s">
        <v>10</v>
      </c>
      <c r="D873" s="22"/>
      <c r="E873" s="22"/>
      <c r="F873" s="22"/>
      <c r="G873" s="22"/>
      <c r="H873" s="23"/>
      <c r="I873" s="10"/>
    </row>
    <row r="874" spans="2:11" x14ac:dyDescent="0.2">
      <c r="B874" s="20" t="s">
        <v>11</v>
      </c>
      <c r="C874" s="24" t="str">
        <f>VLOOKUP(K865,'[1]FORM XIII'!C$14:P1090,3,0)</f>
        <v>ABHISHEK</v>
      </c>
      <c r="D874" s="25"/>
      <c r="E874" s="25"/>
      <c r="F874" s="25"/>
      <c r="G874" s="25"/>
      <c r="H874" s="26"/>
      <c r="I874" s="10"/>
    </row>
    <row r="875" spans="2:11" x14ac:dyDescent="0.2">
      <c r="B875" s="20" t="s">
        <v>12</v>
      </c>
      <c r="C875" s="24">
        <f>VLOOKUP(K865,'[1]FORM XIII'!C$14:P1090,2,0)</f>
        <v>99134835</v>
      </c>
      <c r="D875" s="25"/>
      <c r="E875" s="25"/>
      <c r="F875" s="25"/>
      <c r="G875" s="25"/>
      <c r="H875" s="26"/>
      <c r="I875" s="10"/>
    </row>
    <row r="876" spans="2:11" x14ac:dyDescent="0.2">
      <c r="B876" s="20" t="s">
        <v>13</v>
      </c>
      <c r="C876" s="24" t="str">
        <f>VLOOKUP(K865,'[1]FORM XIII'!C$14:P1090,8,0)</f>
        <v>HELPER</v>
      </c>
      <c r="D876" s="25"/>
      <c r="E876" s="25"/>
      <c r="F876" s="25"/>
      <c r="G876" s="25"/>
      <c r="H876" s="26"/>
      <c r="I876" s="10"/>
    </row>
    <row r="877" spans="2:11" ht="20.399999999999999" x14ac:dyDescent="0.2">
      <c r="B877" s="20" t="s">
        <v>14</v>
      </c>
      <c r="C877" s="44" t="s">
        <v>15</v>
      </c>
      <c r="D877" s="45"/>
      <c r="E877" s="45"/>
      <c r="F877" s="45"/>
      <c r="G877" s="45"/>
      <c r="H877" s="46"/>
      <c r="I877" s="10"/>
    </row>
    <row r="878" spans="2:11" x14ac:dyDescent="0.2">
      <c r="B878" s="20" t="s">
        <v>16</v>
      </c>
      <c r="C878" s="44" t="s">
        <v>17</v>
      </c>
      <c r="D878" s="45"/>
      <c r="E878" s="45"/>
      <c r="F878" s="45"/>
      <c r="G878" s="45"/>
      <c r="H878" s="46"/>
      <c r="I878" s="10"/>
    </row>
    <row r="879" spans="2:11" x14ac:dyDescent="0.2">
      <c r="B879" s="20" t="s">
        <v>18</v>
      </c>
      <c r="C879" s="47" t="s">
        <v>19</v>
      </c>
      <c r="D879" s="22"/>
      <c r="E879" s="22"/>
      <c r="F879" s="22"/>
      <c r="G879" s="22"/>
      <c r="H879" s="23"/>
      <c r="I879" s="10"/>
    </row>
    <row r="880" spans="2:11" x14ac:dyDescent="0.2">
      <c r="B880" s="30" t="s">
        <v>20</v>
      </c>
      <c r="C880" s="31"/>
      <c r="D880" s="32"/>
      <c r="E880" s="32"/>
      <c r="F880" s="32"/>
      <c r="G880" s="32"/>
      <c r="H880" s="33"/>
      <c r="I880" s="10"/>
    </row>
    <row r="881" spans="2:11" x14ac:dyDescent="0.2">
      <c r="B881" s="34" t="s">
        <v>21</v>
      </c>
      <c r="C881" s="35"/>
      <c r="D881" s="35"/>
      <c r="E881" s="35"/>
      <c r="F881" s="35"/>
      <c r="G881" s="35"/>
      <c r="H881" s="36"/>
      <c r="I881" s="10"/>
    </row>
    <row r="882" spans="2:11" x14ac:dyDescent="0.2">
      <c r="B882" s="37" t="s">
        <v>22</v>
      </c>
      <c r="C882" s="38" t="s">
        <v>23</v>
      </c>
      <c r="D882" s="38"/>
      <c r="E882" s="38"/>
      <c r="F882" s="38"/>
      <c r="G882" s="38"/>
      <c r="H882" s="39"/>
      <c r="I882" s="10"/>
    </row>
    <row r="883" spans="2:11" ht="10.8" thickBot="1" x14ac:dyDescent="0.25">
      <c r="B883" s="40"/>
      <c r="C883" s="41"/>
      <c r="D883" s="41"/>
      <c r="E883" s="41"/>
      <c r="F883" s="41"/>
      <c r="G883" s="41"/>
      <c r="H883" s="41"/>
      <c r="I883" s="42"/>
    </row>
    <row r="884" spans="2:11" ht="10.8" thickTop="1" x14ac:dyDescent="0.2"/>
    <row r="885" spans="2:11" ht="10.8" thickBot="1" x14ac:dyDescent="0.25"/>
    <row r="886" spans="2:11" ht="10.8" thickTop="1" x14ac:dyDescent="0.2">
      <c r="B886" s="4"/>
      <c r="C886" s="4"/>
      <c r="D886" s="4"/>
      <c r="E886" s="4"/>
      <c r="F886" s="4"/>
      <c r="G886" s="4"/>
      <c r="H886" s="4"/>
      <c r="I886" s="5"/>
      <c r="K886" s="2">
        <f>+K865+1</f>
        <v>43</v>
      </c>
    </row>
    <row r="887" spans="2:11" x14ac:dyDescent="0.2">
      <c r="B887" s="7" t="s">
        <v>0</v>
      </c>
      <c r="C887" s="8"/>
      <c r="D887" s="8"/>
      <c r="E887" s="8"/>
      <c r="F887" s="8"/>
      <c r="G887" s="8"/>
      <c r="H887" s="9"/>
      <c r="I887" s="10"/>
    </row>
    <row r="888" spans="2:11" x14ac:dyDescent="0.2">
      <c r="B888" s="11" t="s">
        <v>1</v>
      </c>
      <c r="C888" s="12"/>
      <c r="D888" s="12"/>
      <c r="E888" s="12"/>
      <c r="F888" s="12"/>
      <c r="G888" s="12"/>
      <c r="H888" s="13"/>
      <c r="I888" s="10"/>
    </row>
    <row r="889" spans="2:11" x14ac:dyDescent="0.2">
      <c r="B889" s="11" t="s">
        <v>2</v>
      </c>
      <c r="C889" s="12"/>
      <c r="D889" s="12"/>
      <c r="E889" s="12"/>
      <c r="F889" s="12"/>
      <c r="G889" s="12"/>
      <c r="H889" s="13"/>
      <c r="I889" s="10"/>
    </row>
    <row r="890" spans="2:11" x14ac:dyDescent="0.2">
      <c r="B890" s="14"/>
      <c r="H890" s="15"/>
      <c r="I890" s="10"/>
    </row>
    <row r="891" spans="2:11" x14ac:dyDescent="0.2">
      <c r="B891" s="16" t="s">
        <v>3</v>
      </c>
      <c r="C891" s="17" t="s">
        <v>4</v>
      </c>
      <c r="D891" s="18"/>
      <c r="E891" s="18"/>
      <c r="F891" s="18"/>
      <c r="G891" s="18"/>
      <c r="H891" s="19"/>
      <c r="I891" s="10"/>
    </row>
    <row r="892" spans="2:11" ht="20.399999999999999" x14ac:dyDescent="0.2">
      <c r="B892" s="20" t="s">
        <v>5</v>
      </c>
      <c r="C892" s="21" t="s">
        <v>6</v>
      </c>
      <c r="D892" s="22"/>
      <c r="E892" s="22"/>
      <c r="F892" s="22"/>
      <c r="G892" s="22"/>
      <c r="H892" s="23"/>
      <c r="I892" s="10"/>
    </row>
    <row r="893" spans="2:11" x14ac:dyDescent="0.2">
      <c r="B893" s="20" t="s">
        <v>7</v>
      </c>
      <c r="C893" s="21" t="s">
        <v>8</v>
      </c>
      <c r="D893" s="22"/>
      <c r="E893" s="22"/>
      <c r="F893" s="22"/>
      <c r="G893" s="22"/>
      <c r="H893" s="23"/>
      <c r="I893" s="10"/>
    </row>
    <row r="894" spans="2:11" x14ac:dyDescent="0.2">
      <c r="B894" s="20" t="s">
        <v>9</v>
      </c>
      <c r="C894" s="21" t="s">
        <v>10</v>
      </c>
      <c r="D894" s="22"/>
      <c r="E894" s="22"/>
      <c r="F894" s="22"/>
      <c r="G894" s="22"/>
      <c r="H894" s="23"/>
      <c r="I894" s="10"/>
    </row>
    <row r="895" spans="2:11" x14ac:dyDescent="0.2">
      <c r="B895" s="20" t="s">
        <v>11</v>
      </c>
      <c r="C895" s="24" t="str">
        <f>VLOOKUP(K886,'[1]FORM XIII'!C$14:P1111,3,0)</f>
        <v>SHAHAVAN</v>
      </c>
      <c r="D895" s="25"/>
      <c r="E895" s="25"/>
      <c r="F895" s="25"/>
      <c r="G895" s="25"/>
      <c r="H895" s="26"/>
      <c r="I895" s="10"/>
    </row>
    <row r="896" spans="2:11" x14ac:dyDescent="0.2">
      <c r="B896" s="20" t="s">
        <v>12</v>
      </c>
      <c r="C896" s="24">
        <f>VLOOKUP(K886,'[1]FORM XIII'!C$14:P1111,2,0)</f>
        <v>99134836</v>
      </c>
      <c r="D896" s="25"/>
      <c r="E896" s="25"/>
      <c r="F896" s="25"/>
      <c r="G896" s="25"/>
      <c r="H896" s="26"/>
      <c r="I896" s="10"/>
    </row>
    <row r="897" spans="2:11" x14ac:dyDescent="0.2">
      <c r="B897" s="20" t="s">
        <v>13</v>
      </c>
      <c r="C897" s="24" t="str">
        <f>VLOOKUP(K886,'[1]FORM XIII'!C$14:P1111,8,0)</f>
        <v>HELPER</v>
      </c>
      <c r="D897" s="25"/>
      <c r="E897" s="25"/>
      <c r="F897" s="25"/>
      <c r="G897" s="25"/>
      <c r="H897" s="26"/>
      <c r="I897" s="10"/>
    </row>
    <row r="898" spans="2:11" ht="20.399999999999999" x14ac:dyDescent="0.2">
      <c r="B898" s="20" t="s">
        <v>14</v>
      </c>
      <c r="C898" s="44" t="s">
        <v>15</v>
      </c>
      <c r="D898" s="45"/>
      <c r="E898" s="45"/>
      <c r="F898" s="45"/>
      <c r="G898" s="45"/>
      <c r="H898" s="46"/>
      <c r="I898" s="10"/>
    </row>
    <row r="899" spans="2:11" x14ac:dyDescent="0.2">
      <c r="B899" s="20" t="s">
        <v>16</v>
      </c>
      <c r="C899" s="44" t="s">
        <v>17</v>
      </c>
      <c r="D899" s="45"/>
      <c r="E899" s="45"/>
      <c r="F899" s="45"/>
      <c r="G899" s="45"/>
      <c r="H899" s="46"/>
      <c r="I899" s="10"/>
    </row>
    <row r="900" spans="2:11" x14ac:dyDescent="0.2">
      <c r="B900" s="20" t="s">
        <v>18</v>
      </c>
      <c r="C900" s="47" t="s">
        <v>19</v>
      </c>
      <c r="D900" s="22"/>
      <c r="E900" s="22"/>
      <c r="F900" s="22"/>
      <c r="G900" s="22"/>
      <c r="H900" s="23"/>
      <c r="I900" s="10"/>
    </row>
    <row r="901" spans="2:11" x14ac:dyDescent="0.2">
      <c r="B901" s="30" t="s">
        <v>20</v>
      </c>
      <c r="C901" s="31"/>
      <c r="D901" s="32"/>
      <c r="E901" s="32"/>
      <c r="F901" s="32"/>
      <c r="G901" s="32"/>
      <c r="H901" s="33"/>
      <c r="I901" s="10"/>
    </row>
    <row r="902" spans="2:11" x14ac:dyDescent="0.2">
      <c r="B902" s="34" t="s">
        <v>21</v>
      </c>
      <c r="C902" s="35"/>
      <c r="D902" s="35"/>
      <c r="E902" s="35"/>
      <c r="F902" s="35"/>
      <c r="G902" s="35"/>
      <c r="H902" s="36"/>
      <c r="I902" s="10"/>
    </row>
    <row r="903" spans="2:11" x14ac:dyDescent="0.2">
      <c r="B903" s="37" t="s">
        <v>22</v>
      </c>
      <c r="C903" s="38" t="s">
        <v>23</v>
      </c>
      <c r="D903" s="38"/>
      <c r="E903" s="38"/>
      <c r="F903" s="38"/>
      <c r="G903" s="38"/>
      <c r="H903" s="39"/>
      <c r="I903" s="10"/>
    </row>
    <row r="904" spans="2:11" ht="10.8" thickBot="1" x14ac:dyDescent="0.25">
      <c r="B904" s="40"/>
      <c r="C904" s="41"/>
      <c r="D904" s="41"/>
      <c r="E904" s="41"/>
      <c r="F904" s="41"/>
      <c r="G904" s="41"/>
      <c r="H904" s="41"/>
      <c r="I904" s="42"/>
    </row>
    <row r="905" spans="2:11" ht="10.8" thickTop="1" x14ac:dyDescent="0.2"/>
    <row r="906" spans="2:11" ht="10.8" thickBot="1" x14ac:dyDescent="0.25"/>
    <row r="907" spans="2:11" ht="10.8" thickTop="1" x14ac:dyDescent="0.2">
      <c r="B907" s="4"/>
      <c r="C907" s="4"/>
      <c r="D907" s="4"/>
      <c r="E907" s="4"/>
      <c r="F907" s="4"/>
      <c r="G907" s="4"/>
      <c r="H907" s="4"/>
      <c r="I907" s="5"/>
      <c r="K907" s="2">
        <f>+K886+1</f>
        <v>44</v>
      </c>
    </row>
    <row r="908" spans="2:11" x14ac:dyDescent="0.2">
      <c r="B908" s="7" t="s">
        <v>0</v>
      </c>
      <c r="C908" s="8"/>
      <c r="D908" s="8"/>
      <c r="E908" s="8"/>
      <c r="F908" s="8"/>
      <c r="G908" s="8"/>
      <c r="H908" s="9"/>
      <c r="I908" s="10"/>
    </row>
    <row r="909" spans="2:11" x14ac:dyDescent="0.2">
      <c r="B909" s="11" t="s">
        <v>1</v>
      </c>
      <c r="C909" s="12"/>
      <c r="D909" s="12"/>
      <c r="E909" s="12"/>
      <c r="F909" s="12"/>
      <c r="G909" s="12"/>
      <c r="H909" s="13"/>
      <c r="I909" s="10"/>
    </row>
    <row r="910" spans="2:11" x14ac:dyDescent="0.2">
      <c r="B910" s="11" t="s">
        <v>2</v>
      </c>
      <c r="C910" s="12"/>
      <c r="D910" s="12"/>
      <c r="E910" s="12"/>
      <c r="F910" s="12"/>
      <c r="G910" s="12"/>
      <c r="H910" s="13"/>
      <c r="I910" s="10"/>
    </row>
    <row r="911" spans="2:11" x14ac:dyDescent="0.2">
      <c r="B911" s="14"/>
      <c r="H911" s="15"/>
      <c r="I911" s="10"/>
    </row>
    <row r="912" spans="2:11" x14ac:dyDescent="0.2">
      <c r="B912" s="16" t="s">
        <v>3</v>
      </c>
      <c r="C912" s="17" t="s">
        <v>4</v>
      </c>
      <c r="D912" s="18"/>
      <c r="E912" s="18"/>
      <c r="F912" s="18"/>
      <c r="G912" s="18"/>
      <c r="H912" s="19"/>
      <c r="I912" s="10"/>
    </row>
    <row r="913" spans="2:11" ht="20.399999999999999" x14ac:dyDescent="0.2">
      <c r="B913" s="20" t="s">
        <v>5</v>
      </c>
      <c r="C913" s="21" t="s">
        <v>6</v>
      </c>
      <c r="D913" s="22"/>
      <c r="E913" s="22"/>
      <c r="F913" s="22"/>
      <c r="G913" s="22"/>
      <c r="H913" s="23"/>
      <c r="I913" s="10"/>
    </row>
    <row r="914" spans="2:11" x14ac:dyDescent="0.2">
      <c r="B914" s="20" t="s">
        <v>7</v>
      </c>
      <c r="C914" s="21" t="s">
        <v>8</v>
      </c>
      <c r="D914" s="22"/>
      <c r="E914" s="22"/>
      <c r="F914" s="22"/>
      <c r="G914" s="22"/>
      <c r="H914" s="23"/>
      <c r="I914" s="10"/>
    </row>
    <row r="915" spans="2:11" x14ac:dyDescent="0.2">
      <c r="B915" s="20" t="s">
        <v>9</v>
      </c>
      <c r="C915" s="21" t="s">
        <v>10</v>
      </c>
      <c r="D915" s="22"/>
      <c r="E915" s="22"/>
      <c r="F915" s="22"/>
      <c r="G915" s="22"/>
      <c r="H915" s="23"/>
      <c r="I915" s="10"/>
    </row>
    <row r="916" spans="2:11" x14ac:dyDescent="0.2">
      <c r="B916" s="20" t="s">
        <v>11</v>
      </c>
      <c r="C916" s="24" t="str">
        <f>VLOOKUP(K907,'[1]FORM XIII'!C$14:P1132,3,0)</f>
        <v>VISHAL</v>
      </c>
      <c r="D916" s="25"/>
      <c r="E916" s="25"/>
      <c r="F916" s="25"/>
      <c r="G916" s="25"/>
      <c r="H916" s="26"/>
      <c r="I916" s="10"/>
    </row>
    <row r="917" spans="2:11" x14ac:dyDescent="0.2">
      <c r="B917" s="20" t="s">
        <v>12</v>
      </c>
      <c r="C917" s="24">
        <f>VLOOKUP(K907,'[1]FORM XIII'!C$14:P1132,2,0)</f>
        <v>99123525</v>
      </c>
      <c r="D917" s="25"/>
      <c r="E917" s="25"/>
      <c r="F917" s="25"/>
      <c r="G917" s="25"/>
      <c r="H917" s="26"/>
      <c r="I917" s="10"/>
    </row>
    <row r="918" spans="2:11" x14ac:dyDescent="0.2">
      <c r="B918" s="20" t="s">
        <v>13</v>
      </c>
      <c r="C918" s="24" t="str">
        <f>VLOOKUP(K907,'[1]FORM XIII'!C$14:P1132,8,0)</f>
        <v>HELPER</v>
      </c>
      <c r="D918" s="25"/>
      <c r="E918" s="25"/>
      <c r="F918" s="25"/>
      <c r="G918" s="25"/>
      <c r="H918" s="26"/>
      <c r="I918" s="10"/>
    </row>
    <row r="919" spans="2:11" ht="20.399999999999999" x14ac:dyDescent="0.2">
      <c r="B919" s="20" t="s">
        <v>14</v>
      </c>
      <c r="C919" s="44" t="s">
        <v>15</v>
      </c>
      <c r="D919" s="45"/>
      <c r="E919" s="45"/>
      <c r="F919" s="45"/>
      <c r="G919" s="45"/>
      <c r="H919" s="46"/>
      <c r="I919" s="10"/>
    </row>
    <row r="920" spans="2:11" x14ac:dyDescent="0.2">
      <c r="B920" s="20" t="s">
        <v>16</v>
      </c>
      <c r="C920" s="44" t="s">
        <v>17</v>
      </c>
      <c r="D920" s="45"/>
      <c r="E920" s="45"/>
      <c r="F920" s="45"/>
      <c r="G920" s="45"/>
      <c r="H920" s="46"/>
      <c r="I920" s="10"/>
    </row>
    <row r="921" spans="2:11" x14ac:dyDescent="0.2">
      <c r="B921" s="20" t="s">
        <v>18</v>
      </c>
      <c r="C921" s="47" t="s">
        <v>19</v>
      </c>
      <c r="D921" s="22"/>
      <c r="E921" s="22"/>
      <c r="F921" s="22"/>
      <c r="G921" s="22"/>
      <c r="H921" s="23"/>
      <c r="I921" s="10"/>
    </row>
    <row r="922" spans="2:11" x14ac:dyDescent="0.2">
      <c r="B922" s="30" t="s">
        <v>20</v>
      </c>
      <c r="C922" s="31"/>
      <c r="D922" s="32"/>
      <c r="E922" s="32"/>
      <c r="F922" s="32"/>
      <c r="G922" s="32"/>
      <c r="H922" s="33"/>
      <c r="I922" s="10"/>
    </row>
    <row r="923" spans="2:11" x14ac:dyDescent="0.2">
      <c r="B923" s="34" t="s">
        <v>21</v>
      </c>
      <c r="C923" s="35"/>
      <c r="D923" s="35"/>
      <c r="E923" s="35"/>
      <c r="F923" s="35"/>
      <c r="G923" s="35"/>
      <c r="H923" s="36"/>
      <c r="I923" s="10"/>
    </row>
    <row r="924" spans="2:11" x14ac:dyDescent="0.2">
      <c r="B924" s="37" t="s">
        <v>22</v>
      </c>
      <c r="C924" s="38" t="s">
        <v>23</v>
      </c>
      <c r="D924" s="38"/>
      <c r="E924" s="38"/>
      <c r="F924" s="38"/>
      <c r="G924" s="38"/>
      <c r="H924" s="39"/>
      <c r="I924" s="10"/>
    </row>
    <row r="925" spans="2:11" ht="10.8" thickBot="1" x14ac:dyDescent="0.25">
      <c r="B925" s="40"/>
      <c r="C925" s="41"/>
      <c r="D925" s="41"/>
      <c r="E925" s="41"/>
      <c r="F925" s="41"/>
      <c r="G925" s="41"/>
      <c r="H925" s="41"/>
      <c r="I925" s="42"/>
    </row>
    <row r="926" spans="2:11" ht="10.8" thickTop="1" x14ac:dyDescent="0.2"/>
    <row r="927" spans="2:11" ht="10.8" thickBot="1" x14ac:dyDescent="0.25"/>
    <row r="928" spans="2:11" ht="10.8" thickTop="1" x14ac:dyDescent="0.2">
      <c r="B928" s="4"/>
      <c r="C928" s="4"/>
      <c r="D928" s="4"/>
      <c r="E928" s="4"/>
      <c r="F928" s="4"/>
      <c r="G928" s="4"/>
      <c r="H928" s="4"/>
      <c r="I928" s="5"/>
      <c r="K928" s="2">
        <f>+K907+1</f>
        <v>45</v>
      </c>
    </row>
    <row r="929" spans="2:9" x14ac:dyDescent="0.2">
      <c r="B929" s="7" t="s">
        <v>0</v>
      </c>
      <c r="C929" s="8"/>
      <c r="D929" s="8"/>
      <c r="E929" s="8"/>
      <c r="F929" s="8"/>
      <c r="G929" s="8"/>
      <c r="H929" s="9"/>
      <c r="I929" s="10"/>
    </row>
    <row r="930" spans="2:9" x14ac:dyDescent="0.2">
      <c r="B930" s="11" t="s">
        <v>1</v>
      </c>
      <c r="C930" s="12"/>
      <c r="D930" s="12"/>
      <c r="E930" s="12"/>
      <c r="F930" s="12"/>
      <c r="G930" s="12"/>
      <c r="H930" s="13"/>
      <c r="I930" s="10"/>
    </row>
    <row r="931" spans="2:9" x14ac:dyDescent="0.2">
      <c r="B931" s="11" t="s">
        <v>2</v>
      </c>
      <c r="C931" s="12"/>
      <c r="D931" s="12"/>
      <c r="E931" s="12"/>
      <c r="F931" s="12"/>
      <c r="G931" s="12"/>
      <c r="H931" s="13"/>
      <c r="I931" s="10"/>
    </row>
    <row r="932" spans="2:9" x14ac:dyDescent="0.2">
      <c r="B932" s="14"/>
      <c r="H932" s="15"/>
      <c r="I932" s="10"/>
    </row>
    <row r="933" spans="2:9" x14ac:dyDescent="0.2">
      <c r="B933" s="16" t="s">
        <v>3</v>
      </c>
      <c r="C933" s="17" t="s">
        <v>4</v>
      </c>
      <c r="D933" s="18"/>
      <c r="E933" s="18"/>
      <c r="F933" s="18"/>
      <c r="G933" s="18"/>
      <c r="H933" s="19"/>
      <c r="I933" s="10"/>
    </row>
    <row r="934" spans="2:9" ht="20.399999999999999" x14ac:dyDescent="0.2">
      <c r="B934" s="20" t="s">
        <v>5</v>
      </c>
      <c r="C934" s="21" t="s">
        <v>6</v>
      </c>
      <c r="D934" s="22"/>
      <c r="E934" s="22"/>
      <c r="F934" s="22"/>
      <c r="G934" s="22"/>
      <c r="H934" s="23"/>
      <c r="I934" s="10"/>
    </row>
    <row r="935" spans="2:9" x14ac:dyDescent="0.2">
      <c r="B935" s="20" t="s">
        <v>7</v>
      </c>
      <c r="C935" s="21" t="s">
        <v>8</v>
      </c>
      <c r="D935" s="22"/>
      <c r="E935" s="22"/>
      <c r="F935" s="22"/>
      <c r="G935" s="22"/>
      <c r="H935" s="23"/>
      <c r="I935" s="10"/>
    </row>
    <row r="936" spans="2:9" x14ac:dyDescent="0.2">
      <c r="B936" s="20" t="s">
        <v>9</v>
      </c>
      <c r="C936" s="21" t="s">
        <v>10</v>
      </c>
      <c r="D936" s="22"/>
      <c r="E936" s="22"/>
      <c r="F936" s="22"/>
      <c r="G936" s="22"/>
      <c r="H936" s="23"/>
      <c r="I936" s="10"/>
    </row>
    <row r="937" spans="2:9" x14ac:dyDescent="0.2">
      <c r="B937" s="20" t="s">
        <v>11</v>
      </c>
      <c r="C937" s="24" t="str">
        <f>VLOOKUP(K928,'[1]FORM XIII'!C$14:P1153,3,0)</f>
        <v>YASHPAL</v>
      </c>
      <c r="D937" s="25"/>
      <c r="E937" s="25"/>
      <c r="F937" s="25"/>
      <c r="G937" s="25"/>
      <c r="H937" s="26"/>
      <c r="I937" s="10"/>
    </row>
    <row r="938" spans="2:9" x14ac:dyDescent="0.2">
      <c r="B938" s="20" t="s">
        <v>12</v>
      </c>
      <c r="C938" s="24">
        <f>VLOOKUP(K928,'[1]FORM XIII'!C$14:P1153,2,0)</f>
        <v>99135024</v>
      </c>
      <c r="D938" s="25"/>
      <c r="E938" s="25"/>
      <c r="F938" s="25"/>
      <c r="G938" s="25"/>
      <c r="H938" s="26"/>
      <c r="I938" s="10"/>
    </row>
    <row r="939" spans="2:9" x14ac:dyDescent="0.2">
      <c r="B939" s="20" t="s">
        <v>13</v>
      </c>
      <c r="C939" s="24" t="str">
        <f>VLOOKUP(K928,'[1]FORM XIII'!C$14:P1153,8,0)</f>
        <v>HELPER</v>
      </c>
      <c r="D939" s="25"/>
      <c r="E939" s="25"/>
      <c r="F939" s="25"/>
      <c r="G939" s="25"/>
      <c r="H939" s="26"/>
      <c r="I939" s="10"/>
    </row>
    <row r="940" spans="2:9" ht="20.399999999999999" x14ac:dyDescent="0.2">
      <c r="B940" s="20" t="s">
        <v>14</v>
      </c>
      <c r="C940" s="44" t="s">
        <v>15</v>
      </c>
      <c r="D940" s="45"/>
      <c r="E940" s="45"/>
      <c r="F940" s="45"/>
      <c r="G940" s="45"/>
      <c r="H940" s="46"/>
      <c r="I940" s="10"/>
    </row>
    <row r="941" spans="2:9" x14ac:dyDescent="0.2">
      <c r="B941" s="20" t="s">
        <v>16</v>
      </c>
      <c r="C941" s="44" t="s">
        <v>17</v>
      </c>
      <c r="D941" s="45"/>
      <c r="E941" s="45"/>
      <c r="F941" s="45"/>
      <c r="G941" s="45"/>
      <c r="H941" s="46"/>
      <c r="I941" s="10"/>
    </row>
    <row r="942" spans="2:9" x14ac:dyDescent="0.2">
      <c r="B942" s="20" t="s">
        <v>18</v>
      </c>
      <c r="C942" s="47" t="s">
        <v>19</v>
      </c>
      <c r="D942" s="22"/>
      <c r="E942" s="22"/>
      <c r="F942" s="22"/>
      <c r="G942" s="22"/>
      <c r="H942" s="23"/>
      <c r="I942" s="10"/>
    </row>
    <row r="943" spans="2:9" x14ac:dyDescent="0.2">
      <c r="B943" s="30" t="s">
        <v>20</v>
      </c>
      <c r="C943" s="31"/>
      <c r="D943" s="32"/>
      <c r="E943" s="32"/>
      <c r="F943" s="32"/>
      <c r="G943" s="32"/>
      <c r="H943" s="33"/>
      <c r="I943" s="10"/>
    </row>
    <row r="944" spans="2:9" x14ac:dyDescent="0.2">
      <c r="B944" s="34" t="s">
        <v>21</v>
      </c>
      <c r="C944" s="35"/>
      <c r="D944" s="35"/>
      <c r="E944" s="35"/>
      <c r="F944" s="35"/>
      <c r="G944" s="35"/>
      <c r="H944" s="36"/>
      <c r="I944" s="10"/>
    </row>
    <row r="945" spans="2:11" x14ac:dyDescent="0.2">
      <c r="B945" s="37" t="s">
        <v>22</v>
      </c>
      <c r="C945" s="38" t="s">
        <v>23</v>
      </c>
      <c r="D945" s="38"/>
      <c r="E945" s="38"/>
      <c r="F945" s="38"/>
      <c r="G945" s="38"/>
      <c r="H945" s="39"/>
      <c r="I945" s="10"/>
    </row>
    <row r="946" spans="2:11" ht="10.8" thickBot="1" x14ac:dyDescent="0.25">
      <c r="B946" s="40"/>
      <c r="C946" s="41"/>
      <c r="D946" s="41"/>
      <c r="E946" s="41"/>
      <c r="F946" s="41"/>
      <c r="G946" s="41"/>
      <c r="H946" s="41"/>
      <c r="I946" s="42"/>
    </row>
    <row r="947" spans="2:11" ht="10.8" thickTop="1" x14ac:dyDescent="0.2"/>
    <row r="948" spans="2:11" ht="10.8" thickBot="1" x14ac:dyDescent="0.25"/>
    <row r="949" spans="2:11" ht="10.8" thickTop="1" x14ac:dyDescent="0.2">
      <c r="B949" s="4"/>
      <c r="C949" s="4"/>
      <c r="D949" s="4"/>
      <c r="E949" s="4"/>
      <c r="F949" s="4"/>
      <c r="G949" s="4"/>
      <c r="H949" s="4"/>
      <c r="I949" s="5"/>
      <c r="K949" s="2">
        <f>+K928+1</f>
        <v>46</v>
      </c>
    </row>
    <row r="950" spans="2:11" x14ac:dyDescent="0.2">
      <c r="B950" s="7" t="s">
        <v>0</v>
      </c>
      <c r="C950" s="8"/>
      <c r="D950" s="8"/>
      <c r="E950" s="8"/>
      <c r="F950" s="8"/>
      <c r="G950" s="8"/>
      <c r="H950" s="9"/>
      <c r="I950" s="10"/>
    </row>
    <row r="951" spans="2:11" x14ac:dyDescent="0.2">
      <c r="B951" s="11" t="s">
        <v>1</v>
      </c>
      <c r="C951" s="12"/>
      <c r="D951" s="12"/>
      <c r="E951" s="12"/>
      <c r="F951" s="12"/>
      <c r="G951" s="12"/>
      <c r="H951" s="13"/>
      <c r="I951" s="10"/>
    </row>
    <row r="952" spans="2:11" x14ac:dyDescent="0.2">
      <c r="B952" s="11" t="s">
        <v>2</v>
      </c>
      <c r="C952" s="12"/>
      <c r="D952" s="12"/>
      <c r="E952" s="12"/>
      <c r="F952" s="12"/>
      <c r="G952" s="12"/>
      <c r="H952" s="13"/>
      <c r="I952" s="10"/>
    </row>
    <row r="953" spans="2:11" x14ac:dyDescent="0.2">
      <c r="B953" s="14"/>
      <c r="H953" s="15"/>
      <c r="I953" s="10"/>
    </row>
    <row r="954" spans="2:11" x14ac:dyDescent="0.2">
      <c r="B954" s="16" t="s">
        <v>3</v>
      </c>
      <c r="C954" s="17" t="s">
        <v>4</v>
      </c>
      <c r="D954" s="18"/>
      <c r="E954" s="18"/>
      <c r="F954" s="18"/>
      <c r="G954" s="18"/>
      <c r="H954" s="19"/>
      <c r="I954" s="10"/>
    </row>
    <row r="955" spans="2:11" ht="20.399999999999999" x14ac:dyDescent="0.2">
      <c r="B955" s="20" t="s">
        <v>5</v>
      </c>
      <c r="C955" s="21" t="s">
        <v>6</v>
      </c>
      <c r="D955" s="22"/>
      <c r="E955" s="22"/>
      <c r="F955" s="22"/>
      <c r="G955" s="22"/>
      <c r="H955" s="23"/>
      <c r="I955" s="10"/>
    </row>
    <row r="956" spans="2:11" x14ac:dyDescent="0.2">
      <c r="B956" s="20" t="s">
        <v>7</v>
      </c>
      <c r="C956" s="21" t="s">
        <v>8</v>
      </c>
      <c r="D956" s="22"/>
      <c r="E956" s="22"/>
      <c r="F956" s="22"/>
      <c r="G956" s="22"/>
      <c r="H956" s="23"/>
      <c r="I956" s="10"/>
    </row>
    <row r="957" spans="2:11" x14ac:dyDescent="0.2">
      <c r="B957" s="20" t="s">
        <v>9</v>
      </c>
      <c r="C957" s="21" t="s">
        <v>10</v>
      </c>
      <c r="D957" s="22"/>
      <c r="E957" s="22"/>
      <c r="F957" s="22"/>
      <c r="G957" s="22"/>
      <c r="H957" s="23"/>
      <c r="I957" s="10"/>
    </row>
    <row r="958" spans="2:11" x14ac:dyDescent="0.2">
      <c r="B958" s="20" t="s">
        <v>11</v>
      </c>
      <c r="C958" s="24" t="str">
        <f>VLOOKUP(K949,'[1]FORM XIII'!C$14:P1174,3,0)</f>
        <v>MOHAMMAD AHASAN</v>
      </c>
      <c r="D958" s="25"/>
      <c r="E958" s="25"/>
      <c r="F958" s="25"/>
      <c r="G958" s="25"/>
      <c r="H958" s="26"/>
      <c r="I958" s="10"/>
    </row>
    <row r="959" spans="2:11" x14ac:dyDescent="0.2">
      <c r="B959" s="20" t="s">
        <v>12</v>
      </c>
      <c r="C959" s="24">
        <f>VLOOKUP(K949,'[1]FORM XIII'!C$14:P1174,2,0)</f>
        <v>99135028</v>
      </c>
      <c r="D959" s="25"/>
      <c r="E959" s="25"/>
      <c r="F959" s="25"/>
      <c r="G959" s="25"/>
      <c r="H959" s="26"/>
      <c r="I959" s="10"/>
    </row>
    <row r="960" spans="2:11" x14ac:dyDescent="0.2">
      <c r="B960" s="20" t="s">
        <v>13</v>
      </c>
      <c r="C960" s="24" t="str">
        <f>VLOOKUP(K949,'[1]FORM XIII'!C$14:P1174,8,0)</f>
        <v>HELPER</v>
      </c>
      <c r="D960" s="25"/>
      <c r="E960" s="25"/>
      <c r="F960" s="25"/>
      <c r="G960" s="25"/>
      <c r="H960" s="26"/>
      <c r="I960" s="10"/>
    </row>
    <row r="961" spans="2:11" ht="20.399999999999999" x14ac:dyDescent="0.2">
      <c r="B961" s="20" t="s">
        <v>14</v>
      </c>
      <c r="C961" s="44" t="s">
        <v>15</v>
      </c>
      <c r="D961" s="45"/>
      <c r="E961" s="45"/>
      <c r="F961" s="45"/>
      <c r="G961" s="45"/>
      <c r="H961" s="46"/>
      <c r="I961" s="10"/>
    </row>
    <row r="962" spans="2:11" x14ac:dyDescent="0.2">
      <c r="B962" s="20" t="s">
        <v>16</v>
      </c>
      <c r="C962" s="44" t="s">
        <v>17</v>
      </c>
      <c r="D962" s="45"/>
      <c r="E962" s="45"/>
      <c r="F962" s="45"/>
      <c r="G962" s="45"/>
      <c r="H962" s="46"/>
      <c r="I962" s="10"/>
    </row>
    <row r="963" spans="2:11" x14ac:dyDescent="0.2">
      <c r="B963" s="20" t="s">
        <v>18</v>
      </c>
      <c r="C963" s="47" t="s">
        <v>19</v>
      </c>
      <c r="D963" s="22"/>
      <c r="E963" s="22"/>
      <c r="F963" s="22"/>
      <c r="G963" s="22"/>
      <c r="H963" s="23"/>
      <c r="I963" s="10"/>
    </row>
    <row r="964" spans="2:11" x14ac:dyDescent="0.2">
      <c r="B964" s="30" t="s">
        <v>20</v>
      </c>
      <c r="C964" s="31"/>
      <c r="D964" s="32"/>
      <c r="E964" s="32"/>
      <c r="F964" s="32"/>
      <c r="G964" s="32"/>
      <c r="H964" s="33"/>
      <c r="I964" s="10"/>
    </row>
    <row r="965" spans="2:11" x14ac:dyDescent="0.2">
      <c r="B965" s="34" t="s">
        <v>21</v>
      </c>
      <c r="C965" s="35"/>
      <c r="D965" s="35"/>
      <c r="E965" s="35"/>
      <c r="F965" s="35"/>
      <c r="G965" s="35"/>
      <c r="H965" s="36"/>
      <c r="I965" s="10"/>
    </row>
    <row r="966" spans="2:11" x14ac:dyDescent="0.2">
      <c r="B966" s="37" t="s">
        <v>22</v>
      </c>
      <c r="C966" s="38" t="s">
        <v>23</v>
      </c>
      <c r="D966" s="38"/>
      <c r="E966" s="38"/>
      <c r="F966" s="38"/>
      <c r="G966" s="38"/>
      <c r="H966" s="39"/>
      <c r="I966" s="10"/>
    </row>
    <row r="967" spans="2:11" ht="10.8" thickBot="1" x14ac:dyDescent="0.25">
      <c r="B967" s="40"/>
      <c r="C967" s="41"/>
      <c r="D967" s="41"/>
      <c r="E967" s="41"/>
      <c r="F967" s="41"/>
      <c r="G967" s="41"/>
      <c r="H967" s="41"/>
      <c r="I967" s="42"/>
    </row>
    <row r="968" spans="2:11" ht="10.8" thickTop="1" x14ac:dyDescent="0.2"/>
    <row r="969" spans="2:11" ht="10.8" thickBot="1" x14ac:dyDescent="0.25"/>
    <row r="970" spans="2:11" ht="10.8" thickTop="1" x14ac:dyDescent="0.2">
      <c r="B970" s="4"/>
      <c r="C970" s="4"/>
      <c r="D970" s="4"/>
      <c r="E970" s="4"/>
      <c r="F970" s="4"/>
      <c r="G970" s="4"/>
      <c r="H970" s="4"/>
      <c r="I970" s="5"/>
      <c r="J970" s="6"/>
      <c r="K970" s="2">
        <f>+K949+1</f>
        <v>47</v>
      </c>
    </row>
    <row r="971" spans="2:11" x14ac:dyDescent="0.2">
      <c r="B971" s="7" t="s">
        <v>0</v>
      </c>
      <c r="C971" s="8"/>
      <c r="D971" s="8"/>
      <c r="E971" s="8"/>
      <c r="F971" s="8"/>
      <c r="G971" s="8"/>
      <c r="H971" s="9"/>
      <c r="I971" s="10"/>
      <c r="J971" s="6"/>
    </row>
    <row r="972" spans="2:11" x14ac:dyDescent="0.2">
      <c r="B972" s="11" t="s">
        <v>1</v>
      </c>
      <c r="C972" s="12"/>
      <c r="D972" s="12"/>
      <c r="E972" s="12"/>
      <c r="F972" s="12"/>
      <c r="G972" s="12"/>
      <c r="H972" s="13"/>
      <c r="I972" s="10"/>
      <c r="J972" s="6"/>
    </row>
    <row r="973" spans="2:11" x14ac:dyDescent="0.2">
      <c r="B973" s="11" t="s">
        <v>2</v>
      </c>
      <c r="C973" s="12"/>
      <c r="D973" s="12"/>
      <c r="E973" s="12"/>
      <c r="F973" s="12"/>
      <c r="G973" s="12"/>
      <c r="H973" s="13"/>
      <c r="I973" s="10"/>
      <c r="J973" s="6"/>
    </row>
    <row r="974" spans="2:11" x14ac:dyDescent="0.2">
      <c r="B974" s="14"/>
      <c r="H974" s="15"/>
      <c r="I974" s="10"/>
      <c r="J974" s="6"/>
    </row>
    <row r="975" spans="2:11" x14ac:dyDescent="0.2">
      <c r="B975" s="16" t="s">
        <v>3</v>
      </c>
      <c r="C975" s="17" t="s">
        <v>4</v>
      </c>
      <c r="D975" s="18"/>
      <c r="E975" s="18"/>
      <c r="F975" s="18"/>
      <c r="G975" s="18"/>
      <c r="H975" s="19"/>
      <c r="I975" s="10"/>
      <c r="J975" s="6"/>
    </row>
    <row r="976" spans="2:11" ht="20.399999999999999" x14ac:dyDescent="0.2">
      <c r="B976" s="20" t="s">
        <v>5</v>
      </c>
      <c r="C976" s="21" t="s">
        <v>6</v>
      </c>
      <c r="D976" s="22"/>
      <c r="E976" s="22"/>
      <c r="F976" s="22"/>
      <c r="G976" s="22"/>
      <c r="H976" s="23"/>
      <c r="I976" s="10"/>
      <c r="J976" s="6"/>
    </row>
    <row r="977" spans="2:11" x14ac:dyDescent="0.2">
      <c r="B977" s="20" t="s">
        <v>7</v>
      </c>
      <c r="C977" s="21" t="s">
        <v>8</v>
      </c>
      <c r="D977" s="22"/>
      <c r="E977" s="22"/>
      <c r="F977" s="22"/>
      <c r="G977" s="22"/>
      <c r="H977" s="23"/>
      <c r="I977" s="10"/>
      <c r="J977" s="6"/>
    </row>
    <row r="978" spans="2:11" x14ac:dyDescent="0.2">
      <c r="B978" s="20" t="s">
        <v>9</v>
      </c>
      <c r="C978" s="21" t="s">
        <v>10</v>
      </c>
      <c r="D978" s="22"/>
      <c r="E978" s="22"/>
      <c r="F978" s="22"/>
      <c r="G978" s="22"/>
      <c r="H978" s="23"/>
      <c r="I978" s="10"/>
      <c r="J978" s="6"/>
    </row>
    <row r="979" spans="2:11" x14ac:dyDescent="0.2">
      <c r="B979" s="20" t="s">
        <v>11</v>
      </c>
      <c r="C979" s="24" t="str">
        <f>VLOOKUP(K970,'[1]FORM XIII'!C$14:P1195,3,0)</f>
        <v>SACHIN</v>
      </c>
      <c r="D979" s="25"/>
      <c r="E979" s="25"/>
      <c r="F979" s="25"/>
      <c r="G979" s="25"/>
      <c r="H979" s="26"/>
      <c r="I979" s="10"/>
      <c r="J979" s="6"/>
    </row>
    <row r="980" spans="2:11" x14ac:dyDescent="0.2">
      <c r="B980" s="20" t="s">
        <v>12</v>
      </c>
      <c r="C980" s="24">
        <f>VLOOKUP(K970,'[1]FORM XIII'!C$14:P1195,2,0)</f>
        <v>99135274</v>
      </c>
      <c r="D980" s="25"/>
      <c r="E980" s="25"/>
      <c r="F980" s="25"/>
      <c r="G980" s="25"/>
      <c r="H980" s="26"/>
      <c r="I980" s="10"/>
      <c r="J980" s="6"/>
    </row>
    <row r="981" spans="2:11" x14ac:dyDescent="0.2">
      <c r="B981" s="20" t="s">
        <v>13</v>
      </c>
      <c r="C981" s="24" t="str">
        <f>VLOOKUP(K970,'[1]FORM XIII'!C$14:P1195,8,0)</f>
        <v>HELPER</v>
      </c>
      <c r="D981" s="25"/>
      <c r="E981" s="25"/>
      <c r="F981" s="25"/>
      <c r="G981" s="25"/>
      <c r="H981" s="26"/>
      <c r="I981" s="10"/>
      <c r="J981" s="6"/>
    </row>
    <row r="982" spans="2:11" ht="20.399999999999999" x14ac:dyDescent="0.2">
      <c r="B982" s="20" t="s">
        <v>14</v>
      </c>
      <c r="C982" s="44" t="s">
        <v>15</v>
      </c>
      <c r="D982" s="45"/>
      <c r="E982" s="45"/>
      <c r="F982" s="45"/>
      <c r="G982" s="45"/>
      <c r="H982" s="46"/>
      <c r="I982" s="10"/>
      <c r="J982" s="6"/>
    </row>
    <row r="983" spans="2:11" x14ac:dyDescent="0.2">
      <c r="B983" s="20" t="s">
        <v>16</v>
      </c>
      <c r="C983" s="44" t="s">
        <v>17</v>
      </c>
      <c r="D983" s="45"/>
      <c r="E983" s="45"/>
      <c r="F983" s="45"/>
      <c r="G983" s="45"/>
      <c r="H983" s="46"/>
      <c r="I983" s="10"/>
      <c r="J983" s="6"/>
    </row>
    <row r="984" spans="2:11" x14ac:dyDescent="0.2">
      <c r="B984" s="20" t="s">
        <v>18</v>
      </c>
      <c r="C984" s="47" t="s">
        <v>19</v>
      </c>
      <c r="D984" s="22"/>
      <c r="E984" s="22"/>
      <c r="F984" s="22"/>
      <c r="G984" s="22"/>
      <c r="H984" s="23"/>
      <c r="I984" s="10"/>
      <c r="J984" s="6"/>
    </row>
    <row r="985" spans="2:11" x14ac:dyDescent="0.2">
      <c r="B985" s="30" t="s">
        <v>20</v>
      </c>
      <c r="C985" s="31"/>
      <c r="D985" s="32"/>
      <c r="E985" s="32"/>
      <c r="F985" s="32"/>
      <c r="G985" s="32"/>
      <c r="H985" s="33"/>
      <c r="I985" s="10"/>
      <c r="J985" s="6"/>
    </row>
    <row r="986" spans="2:11" x14ac:dyDescent="0.2">
      <c r="B986" s="34" t="s">
        <v>21</v>
      </c>
      <c r="C986" s="35"/>
      <c r="D986" s="35"/>
      <c r="E986" s="35"/>
      <c r="F986" s="35"/>
      <c r="G986" s="35"/>
      <c r="H986" s="36"/>
      <c r="I986" s="10"/>
      <c r="J986" s="6"/>
    </row>
    <row r="987" spans="2:11" x14ac:dyDescent="0.2">
      <c r="B987" s="37" t="s">
        <v>22</v>
      </c>
      <c r="C987" s="38" t="s">
        <v>23</v>
      </c>
      <c r="D987" s="38"/>
      <c r="E987" s="38"/>
      <c r="F987" s="38"/>
      <c r="G987" s="38"/>
      <c r="H987" s="39"/>
      <c r="I987" s="10"/>
      <c r="J987" s="6"/>
    </row>
    <row r="988" spans="2:11" ht="10.8" thickBot="1" x14ac:dyDescent="0.25">
      <c r="B988" s="40"/>
      <c r="C988" s="41"/>
      <c r="D988" s="41"/>
      <c r="E988" s="41"/>
      <c r="F988" s="41"/>
      <c r="G988" s="41"/>
      <c r="H988" s="41"/>
      <c r="I988" s="42"/>
      <c r="J988" s="6"/>
    </row>
    <row r="989" spans="2:11" ht="10.8" thickTop="1" x14ac:dyDescent="0.2">
      <c r="J989" s="6"/>
    </row>
    <row r="990" spans="2:11" ht="10.8" thickBot="1" x14ac:dyDescent="0.25"/>
    <row r="991" spans="2:11" ht="10.8" thickTop="1" x14ac:dyDescent="0.2">
      <c r="B991" s="4"/>
      <c r="C991" s="4"/>
      <c r="D991" s="4"/>
      <c r="E991" s="4"/>
      <c r="F991" s="4"/>
      <c r="G991" s="4"/>
      <c r="H991" s="4"/>
      <c r="I991" s="5"/>
      <c r="K991" s="2">
        <f>+K970+1</f>
        <v>48</v>
      </c>
    </row>
    <row r="992" spans="2:11" x14ac:dyDescent="0.2">
      <c r="B992" s="7" t="s">
        <v>0</v>
      </c>
      <c r="C992" s="8"/>
      <c r="D992" s="8"/>
      <c r="E992" s="8"/>
      <c r="F992" s="8"/>
      <c r="G992" s="8"/>
      <c r="H992" s="9"/>
      <c r="I992" s="10"/>
    </row>
    <row r="993" spans="2:9" x14ac:dyDescent="0.2">
      <c r="B993" s="11" t="s">
        <v>1</v>
      </c>
      <c r="C993" s="12"/>
      <c r="D993" s="12"/>
      <c r="E993" s="12"/>
      <c r="F993" s="12"/>
      <c r="G993" s="12"/>
      <c r="H993" s="13"/>
      <c r="I993" s="10"/>
    </row>
    <row r="994" spans="2:9" x14ac:dyDescent="0.2">
      <c r="B994" s="11" t="s">
        <v>2</v>
      </c>
      <c r="C994" s="12"/>
      <c r="D994" s="12"/>
      <c r="E994" s="12"/>
      <c r="F994" s="12"/>
      <c r="G994" s="12"/>
      <c r="H994" s="13"/>
      <c r="I994" s="10"/>
    </row>
    <row r="995" spans="2:9" x14ac:dyDescent="0.2">
      <c r="B995" s="14"/>
      <c r="H995" s="15"/>
      <c r="I995" s="10"/>
    </row>
    <row r="996" spans="2:9" x14ac:dyDescent="0.2">
      <c r="B996" s="16" t="s">
        <v>3</v>
      </c>
      <c r="C996" s="17" t="s">
        <v>4</v>
      </c>
      <c r="D996" s="18"/>
      <c r="E996" s="18"/>
      <c r="F996" s="18"/>
      <c r="G996" s="18"/>
      <c r="H996" s="19"/>
      <c r="I996" s="10"/>
    </row>
    <row r="997" spans="2:9" ht="20.399999999999999" x14ac:dyDescent="0.2">
      <c r="B997" s="20" t="s">
        <v>5</v>
      </c>
      <c r="C997" s="21" t="s">
        <v>6</v>
      </c>
      <c r="D997" s="22"/>
      <c r="E997" s="22"/>
      <c r="F997" s="22"/>
      <c r="G997" s="22"/>
      <c r="H997" s="23"/>
      <c r="I997" s="10"/>
    </row>
    <row r="998" spans="2:9" x14ac:dyDescent="0.2">
      <c r="B998" s="20" t="s">
        <v>7</v>
      </c>
      <c r="C998" s="21" t="s">
        <v>8</v>
      </c>
      <c r="D998" s="22"/>
      <c r="E998" s="22"/>
      <c r="F998" s="22"/>
      <c r="G998" s="22"/>
      <c r="H998" s="23"/>
      <c r="I998" s="10"/>
    </row>
    <row r="999" spans="2:9" x14ac:dyDescent="0.2">
      <c r="B999" s="20" t="s">
        <v>9</v>
      </c>
      <c r="C999" s="21" t="s">
        <v>10</v>
      </c>
      <c r="D999" s="22"/>
      <c r="E999" s="22"/>
      <c r="F999" s="22"/>
      <c r="G999" s="22"/>
      <c r="H999" s="23"/>
      <c r="I999" s="10"/>
    </row>
    <row r="1000" spans="2:9" x14ac:dyDescent="0.2">
      <c r="B1000" s="20" t="s">
        <v>11</v>
      </c>
      <c r="C1000" s="24" t="str">
        <f>VLOOKUP(K991,'[1]FORM XIII'!C$14:P1216,3,0)</f>
        <v>HUKUM SINGH</v>
      </c>
      <c r="D1000" s="25"/>
      <c r="E1000" s="25"/>
      <c r="F1000" s="25"/>
      <c r="G1000" s="25"/>
      <c r="H1000" s="26"/>
      <c r="I1000" s="10"/>
    </row>
    <row r="1001" spans="2:9" x14ac:dyDescent="0.2">
      <c r="B1001" s="20" t="s">
        <v>12</v>
      </c>
      <c r="C1001" s="24">
        <f>VLOOKUP(K991,'[1]FORM XIII'!C$14:P1216,2,0)</f>
        <v>99135605</v>
      </c>
      <c r="D1001" s="25"/>
      <c r="E1001" s="25"/>
      <c r="F1001" s="25"/>
      <c r="G1001" s="25"/>
      <c r="H1001" s="26"/>
      <c r="I1001" s="10"/>
    </row>
    <row r="1002" spans="2:9" x14ac:dyDescent="0.2">
      <c r="B1002" s="20" t="s">
        <v>13</v>
      </c>
      <c r="C1002" s="24" t="str">
        <f>VLOOKUP(K991,'[1]FORM XIII'!C$14:P1216,8,0)</f>
        <v>HELPER</v>
      </c>
      <c r="D1002" s="25"/>
      <c r="E1002" s="25"/>
      <c r="F1002" s="25"/>
      <c r="G1002" s="25"/>
      <c r="H1002" s="26"/>
      <c r="I1002" s="10"/>
    </row>
    <row r="1003" spans="2:9" ht="20.399999999999999" x14ac:dyDescent="0.2">
      <c r="B1003" s="20" t="s">
        <v>14</v>
      </c>
      <c r="C1003" s="44" t="s">
        <v>15</v>
      </c>
      <c r="D1003" s="45"/>
      <c r="E1003" s="45"/>
      <c r="F1003" s="45"/>
      <c r="G1003" s="45"/>
      <c r="H1003" s="46"/>
      <c r="I1003" s="10"/>
    </row>
    <row r="1004" spans="2:9" x14ac:dyDescent="0.2">
      <c r="B1004" s="20" t="s">
        <v>16</v>
      </c>
      <c r="C1004" s="44" t="s">
        <v>17</v>
      </c>
      <c r="D1004" s="45"/>
      <c r="E1004" s="45"/>
      <c r="F1004" s="45"/>
      <c r="G1004" s="45"/>
      <c r="H1004" s="46"/>
      <c r="I1004" s="10"/>
    </row>
    <row r="1005" spans="2:9" x14ac:dyDescent="0.2">
      <c r="B1005" s="20" t="s">
        <v>18</v>
      </c>
      <c r="C1005" s="47" t="s">
        <v>19</v>
      </c>
      <c r="D1005" s="22"/>
      <c r="E1005" s="22"/>
      <c r="F1005" s="22"/>
      <c r="G1005" s="22"/>
      <c r="H1005" s="23"/>
      <c r="I1005" s="10"/>
    </row>
    <row r="1006" spans="2:9" x14ac:dyDescent="0.2">
      <c r="B1006" s="30" t="s">
        <v>20</v>
      </c>
      <c r="C1006" s="31"/>
      <c r="D1006" s="32"/>
      <c r="E1006" s="32"/>
      <c r="F1006" s="32"/>
      <c r="G1006" s="32"/>
      <c r="H1006" s="33"/>
      <c r="I1006" s="10"/>
    </row>
    <row r="1007" spans="2:9" x14ac:dyDescent="0.2">
      <c r="B1007" s="34" t="s">
        <v>21</v>
      </c>
      <c r="C1007" s="35"/>
      <c r="D1007" s="35"/>
      <c r="E1007" s="35"/>
      <c r="F1007" s="35"/>
      <c r="G1007" s="35"/>
      <c r="H1007" s="36"/>
      <c r="I1007" s="10"/>
    </row>
    <row r="1008" spans="2:9" x14ac:dyDescent="0.2">
      <c r="B1008" s="37" t="s">
        <v>22</v>
      </c>
      <c r="C1008" s="38" t="s">
        <v>23</v>
      </c>
      <c r="D1008" s="38"/>
      <c r="E1008" s="38"/>
      <c r="F1008" s="38"/>
      <c r="G1008" s="38"/>
      <c r="H1008" s="39"/>
      <c r="I1008" s="10"/>
    </row>
    <row r="1009" spans="2:11" ht="10.8" thickBot="1" x14ac:dyDescent="0.25">
      <c r="B1009" s="40"/>
      <c r="C1009" s="41"/>
      <c r="D1009" s="41"/>
      <c r="E1009" s="41"/>
      <c r="F1009" s="41"/>
      <c r="G1009" s="41"/>
      <c r="H1009" s="41"/>
      <c r="I1009" s="42"/>
    </row>
    <row r="1010" spans="2:11" ht="10.8" thickTop="1" x14ac:dyDescent="0.2"/>
    <row r="1011" spans="2:11" ht="10.8" thickBot="1" x14ac:dyDescent="0.25"/>
    <row r="1012" spans="2:11" ht="10.8" thickTop="1" x14ac:dyDescent="0.2">
      <c r="B1012" s="4"/>
      <c r="C1012" s="4"/>
      <c r="D1012" s="4"/>
      <c r="E1012" s="4"/>
      <c r="F1012" s="4"/>
      <c r="G1012" s="4"/>
      <c r="H1012" s="4"/>
      <c r="I1012" s="5"/>
      <c r="K1012" s="2">
        <f>+K991+1</f>
        <v>49</v>
      </c>
    </row>
    <row r="1013" spans="2:11" x14ac:dyDescent="0.2">
      <c r="B1013" s="7" t="s">
        <v>0</v>
      </c>
      <c r="C1013" s="8"/>
      <c r="D1013" s="8"/>
      <c r="E1013" s="8"/>
      <c r="F1013" s="8"/>
      <c r="G1013" s="8"/>
      <c r="H1013" s="9"/>
      <c r="I1013" s="10"/>
    </row>
    <row r="1014" spans="2:11" x14ac:dyDescent="0.2">
      <c r="B1014" s="11" t="s">
        <v>1</v>
      </c>
      <c r="C1014" s="12"/>
      <c r="D1014" s="12"/>
      <c r="E1014" s="12"/>
      <c r="F1014" s="12"/>
      <c r="G1014" s="12"/>
      <c r="H1014" s="13"/>
      <c r="I1014" s="10"/>
    </row>
    <row r="1015" spans="2:11" x14ac:dyDescent="0.2">
      <c r="B1015" s="11" t="s">
        <v>2</v>
      </c>
      <c r="C1015" s="12"/>
      <c r="D1015" s="12"/>
      <c r="E1015" s="12"/>
      <c r="F1015" s="12"/>
      <c r="G1015" s="12"/>
      <c r="H1015" s="13"/>
      <c r="I1015" s="10"/>
    </row>
    <row r="1016" spans="2:11" x14ac:dyDescent="0.2">
      <c r="B1016" s="14"/>
      <c r="H1016" s="15"/>
      <c r="I1016" s="10"/>
    </row>
    <row r="1017" spans="2:11" x14ac:dyDescent="0.2">
      <c r="B1017" s="16" t="s">
        <v>3</v>
      </c>
      <c r="C1017" s="17" t="s">
        <v>4</v>
      </c>
      <c r="D1017" s="18"/>
      <c r="E1017" s="18"/>
      <c r="F1017" s="18"/>
      <c r="G1017" s="18"/>
      <c r="H1017" s="19"/>
      <c r="I1017" s="10"/>
    </row>
    <row r="1018" spans="2:11" ht="20.399999999999999" x14ac:dyDescent="0.2">
      <c r="B1018" s="20" t="s">
        <v>5</v>
      </c>
      <c r="C1018" s="21" t="s">
        <v>6</v>
      </c>
      <c r="D1018" s="22"/>
      <c r="E1018" s="22"/>
      <c r="F1018" s="22"/>
      <c r="G1018" s="22"/>
      <c r="H1018" s="23"/>
      <c r="I1018" s="10"/>
    </row>
    <row r="1019" spans="2:11" x14ac:dyDescent="0.2">
      <c r="B1019" s="20" t="s">
        <v>7</v>
      </c>
      <c r="C1019" s="21" t="s">
        <v>8</v>
      </c>
      <c r="D1019" s="22"/>
      <c r="E1019" s="22"/>
      <c r="F1019" s="22"/>
      <c r="G1019" s="22"/>
      <c r="H1019" s="23"/>
      <c r="I1019" s="10"/>
    </row>
    <row r="1020" spans="2:11" x14ac:dyDescent="0.2">
      <c r="B1020" s="20" t="s">
        <v>9</v>
      </c>
      <c r="C1020" s="21" t="s">
        <v>10</v>
      </c>
      <c r="D1020" s="22"/>
      <c r="E1020" s="22"/>
      <c r="F1020" s="22"/>
      <c r="G1020" s="22"/>
      <c r="H1020" s="23"/>
      <c r="I1020" s="10"/>
    </row>
    <row r="1021" spans="2:11" x14ac:dyDescent="0.2">
      <c r="B1021" s="20" t="s">
        <v>11</v>
      </c>
      <c r="C1021" s="24" t="str">
        <f>VLOOKUP(K1012,'[1]FORM XIII'!C$14:P1237,3,0)</f>
        <v>HIMANSHU</v>
      </c>
      <c r="D1021" s="25"/>
      <c r="E1021" s="25"/>
      <c r="F1021" s="25"/>
      <c r="G1021" s="25"/>
      <c r="H1021" s="26"/>
      <c r="I1021" s="10"/>
    </row>
    <row r="1022" spans="2:11" x14ac:dyDescent="0.2">
      <c r="B1022" s="20" t="s">
        <v>12</v>
      </c>
      <c r="C1022" s="24">
        <f>VLOOKUP(K1012,'[1]FORM XIII'!C$14:P1237,2,0)</f>
        <v>99135607</v>
      </c>
      <c r="D1022" s="25"/>
      <c r="E1022" s="25"/>
      <c r="F1022" s="25"/>
      <c r="G1022" s="25"/>
      <c r="H1022" s="26"/>
      <c r="I1022" s="10"/>
    </row>
    <row r="1023" spans="2:11" x14ac:dyDescent="0.2">
      <c r="B1023" s="20" t="s">
        <v>13</v>
      </c>
      <c r="C1023" s="24" t="str">
        <f>VLOOKUP(K1012,'[1]FORM XIII'!C$14:P1237,8,0)</f>
        <v>HELPER</v>
      </c>
      <c r="D1023" s="25"/>
      <c r="E1023" s="25"/>
      <c r="F1023" s="25"/>
      <c r="G1023" s="25"/>
      <c r="H1023" s="26"/>
      <c r="I1023" s="10"/>
    </row>
    <row r="1024" spans="2:11" ht="20.399999999999999" x14ac:dyDescent="0.2">
      <c r="B1024" s="20" t="s">
        <v>14</v>
      </c>
      <c r="C1024" s="44" t="s">
        <v>15</v>
      </c>
      <c r="D1024" s="45"/>
      <c r="E1024" s="45"/>
      <c r="F1024" s="45"/>
      <c r="G1024" s="45"/>
      <c r="H1024" s="46"/>
      <c r="I1024" s="10"/>
    </row>
    <row r="1025" spans="2:11" x14ac:dyDescent="0.2">
      <c r="B1025" s="20" t="s">
        <v>16</v>
      </c>
      <c r="C1025" s="44" t="s">
        <v>17</v>
      </c>
      <c r="D1025" s="45"/>
      <c r="E1025" s="45"/>
      <c r="F1025" s="45"/>
      <c r="G1025" s="45"/>
      <c r="H1025" s="46"/>
      <c r="I1025" s="10"/>
    </row>
    <row r="1026" spans="2:11" x14ac:dyDescent="0.2">
      <c r="B1026" s="20" t="s">
        <v>18</v>
      </c>
      <c r="C1026" s="47" t="s">
        <v>19</v>
      </c>
      <c r="D1026" s="22"/>
      <c r="E1026" s="22"/>
      <c r="F1026" s="22"/>
      <c r="G1026" s="22"/>
      <c r="H1026" s="23"/>
      <c r="I1026" s="10"/>
    </row>
    <row r="1027" spans="2:11" x14ac:dyDescent="0.2">
      <c r="B1027" s="30" t="s">
        <v>20</v>
      </c>
      <c r="C1027" s="31"/>
      <c r="D1027" s="32"/>
      <c r="E1027" s="32"/>
      <c r="F1027" s="32"/>
      <c r="G1027" s="32"/>
      <c r="H1027" s="33"/>
      <c r="I1027" s="10"/>
    </row>
    <row r="1028" spans="2:11" x14ac:dyDescent="0.2">
      <c r="B1028" s="34" t="s">
        <v>21</v>
      </c>
      <c r="C1028" s="35"/>
      <c r="D1028" s="35"/>
      <c r="E1028" s="35"/>
      <c r="F1028" s="35"/>
      <c r="G1028" s="35"/>
      <c r="H1028" s="36"/>
      <c r="I1028" s="10"/>
    </row>
    <row r="1029" spans="2:11" x14ac:dyDescent="0.2">
      <c r="B1029" s="37" t="s">
        <v>22</v>
      </c>
      <c r="C1029" s="38" t="s">
        <v>23</v>
      </c>
      <c r="D1029" s="38"/>
      <c r="E1029" s="38"/>
      <c r="F1029" s="38"/>
      <c r="G1029" s="38"/>
      <c r="H1029" s="39"/>
      <c r="I1029" s="10"/>
    </row>
    <row r="1030" spans="2:11" ht="10.8" thickBot="1" x14ac:dyDescent="0.25">
      <c r="B1030" s="40"/>
      <c r="C1030" s="41"/>
      <c r="D1030" s="41"/>
      <c r="E1030" s="41"/>
      <c r="F1030" s="41"/>
      <c r="G1030" s="41"/>
      <c r="H1030" s="41"/>
      <c r="I1030" s="42"/>
    </row>
    <row r="1031" spans="2:11" ht="10.8" thickTop="1" x14ac:dyDescent="0.2"/>
    <row r="1032" spans="2:11" ht="10.8" thickBot="1" x14ac:dyDescent="0.25"/>
    <row r="1033" spans="2:11" ht="10.8" thickTop="1" x14ac:dyDescent="0.2">
      <c r="B1033" s="4"/>
      <c r="C1033" s="4"/>
      <c r="D1033" s="4"/>
      <c r="E1033" s="4"/>
      <c r="F1033" s="4"/>
      <c r="G1033" s="4"/>
      <c r="H1033" s="4"/>
      <c r="I1033" s="5"/>
      <c r="K1033" s="2">
        <f>+K1012+1</f>
        <v>50</v>
      </c>
    </row>
    <row r="1034" spans="2:11" x14ac:dyDescent="0.2">
      <c r="B1034" s="7" t="s">
        <v>0</v>
      </c>
      <c r="C1034" s="8"/>
      <c r="D1034" s="8"/>
      <c r="E1034" s="8"/>
      <c r="F1034" s="8"/>
      <c r="G1034" s="8"/>
      <c r="H1034" s="9"/>
      <c r="I1034" s="10"/>
    </row>
    <row r="1035" spans="2:11" x14ac:dyDescent="0.2">
      <c r="B1035" s="11" t="s">
        <v>1</v>
      </c>
      <c r="C1035" s="12"/>
      <c r="D1035" s="12"/>
      <c r="E1035" s="12"/>
      <c r="F1035" s="12"/>
      <c r="G1035" s="12"/>
      <c r="H1035" s="13"/>
      <c r="I1035" s="10"/>
    </row>
    <row r="1036" spans="2:11" x14ac:dyDescent="0.2">
      <c r="B1036" s="11" t="s">
        <v>2</v>
      </c>
      <c r="C1036" s="12"/>
      <c r="D1036" s="12"/>
      <c r="E1036" s="12"/>
      <c r="F1036" s="12"/>
      <c r="G1036" s="12"/>
      <c r="H1036" s="13"/>
      <c r="I1036" s="10"/>
    </row>
    <row r="1037" spans="2:11" x14ac:dyDescent="0.2">
      <c r="B1037" s="14"/>
      <c r="H1037" s="15"/>
      <c r="I1037" s="10"/>
    </row>
    <row r="1038" spans="2:11" x14ac:dyDescent="0.2">
      <c r="B1038" s="16" t="s">
        <v>3</v>
      </c>
      <c r="C1038" s="17" t="s">
        <v>4</v>
      </c>
      <c r="D1038" s="18"/>
      <c r="E1038" s="18"/>
      <c r="F1038" s="18"/>
      <c r="G1038" s="18"/>
      <c r="H1038" s="19"/>
      <c r="I1038" s="10"/>
    </row>
    <row r="1039" spans="2:11" ht="20.399999999999999" x14ac:dyDescent="0.2">
      <c r="B1039" s="20" t="s">
        <v>5</v>
      </c>
      <c r="C1039" s="21" t="s">
        <v>6</v>
      </c>
      <c r="D1039" s="22"/>
      <c r="E1039" s="22"/>
      <c r="F1039" s="22"/>
      <c r="G1039" s="22"/>
      <c r="H1039" s="23"/>
      <c r="I1039" s="10"/>
    </row>
    <row r="1040" spans="2:11" x14ac:dyDescent="0.2">
      <c r="B1040" s="20" t="s">
        <v>7</v>
      </c>
      <c r="C1040" s="21" t="s">
        <v>8</v>
      </c>
      <c r="D1040" s="22"/>
      <c r="E1040" s="22"/>
      <c r="F1040" s="22"/>
      <c r="G1040" s="22"/>
      <c r="H1040" s="23"/>
      <c r="I1040" s="10"/>
    </row>
    <row r="1041" spans="2:11" x14ac:dyDescent="0.2">
      <c r="B1041" s="20" t="s">
        <v>9</v>
      </c>
      <c r="C1041" s="21" t="s">
        <v>10</v>
      </c>
      <c r="D1041" s="22"/>
      <c r="E1041" s="22"/>
      <c r="F1041" s="22"/>
      <c r="G1041" s="22"/>
      <c r="H1041" s="23"/>
      <c r="I1041" s="10"/>
    </row>
    <row r="1042" spans="2:11" x14ac:dyDescent="0.2">
      <c r="B1042" s="20" t="s">
        <v>11</v>
      </c>
      <c r="C1042" s="24" t="str">
        <f>VLOOKUP(K1033,'[1]FORM XIII'!C$14:P1258,3,0)</f>
        <v>KULDEEP</v>
      </c>
      <c r="D1042" s="25"/>
      <c r="E1042" s="25"/>
      <c r="F1042" s="25"/>
      <c r="G1042" s="25"/>
      <c r="H1042" s="26"/>
      <c r="I1042" s="10"/>
    </row>
    <row r="1043" spans="2:11" x14ac:dyDescent="0.2">
      <c r="B1043" s="20" t="s">
        <v>12</v>
      </c>
      <c r="C1043" s="24">
        <f>VLOOKUP(K1033,'[1]FORM XIII'!C$14:P1258,2,0)</f>
        <v>99135611</v>
      </c>
      <c r="D1043" s="25"/>
      <c r="E1043" s="25"/>
      <c r="F1043" s="25"/>
      <c r="G1043" s="25"/>
      <c r="H1043" s="26"/>
      <c r="I1043" s="10"/>
    </row>
    <row r="1044" spans="2:11" x14ac:dyDescent="0.2">
      <c r="B1044" s="20" t="s">
        <v>13</v>
      </c>
      <c r="C1044" s="24" t="str">
        <f>VLOOKUP(K1033,'[1]FORM XIII'!C$14:P1258,8,0)</f>
        <v>HELPER</v>
      </c>
      <c r="D1044" s="25"/>
      <c r="E1044" s="25"/>
      <c r="F1044" s="25"/>
      <c r="G1044" s="25"/>
      <c r="H1044" s="26"/>
      <c r="I1044" s="10"/>
    </row>
    <row r="1045" spans="2:11" ht="20.399999999999999" x14ac:dyDescent="0.2">
      <c r="B1045" s="20" t="s">
        <v>14</v>
      </c>
      <c r="C1045" s="44" t="s">
        <v>15</v>
      </c>
      <c r="D1045" s="45"/>
      <c r="E1045" s="45"/>
      <c r="F1045" s="45"/>
      <c r="G1045" s="45"/>
      <c r="H1045" s="46"/>
      <c r="I1045" s="10"/>
    </row>
    <row r="1046" spans="2:11" x14ac:dyDescent="0.2">
      <c r="B1046" s="20" t="s">
        <v>16</v>
      </c>
      <c r="C1046" s="44" t="s">
        <v>17</v>
      </c>
      <c r="D1046" s="45"/>
      <c r="E1046" s="45"/>
      <c r="F1046" s="45"/>
      <c r="G1046" s="45"/>
      <c r="H1046" s="46"/>
      <c r="I1046" s="10"/>
    </row>
    <row r="1047" spans="2:11" x14ac:dyDescent="0.2">
      <c r="B1047" s="20" t="s">
        <v>18</v>
      </c>
      <c r="C1047" s="47" t="s">
        <v>19</v>
      </c>
      <c r="D1047" s="22"/>
      <c r="E1047" s="22"/>
      <c r="F1047" s="22"/>
      <c r="G1047" s="22"/>
      <c r="H1047" s="23"/>
      <c r="I1047" s="10"/>
    </row>
    <row r="1048" spans="2:11" x14ac:dyDescent="0.2">
      <c r="B1048" s="30" t="s">
        <v>20</v>
      </c>
      <c r="C1048" s="31"/>
      <c r="D1048" s="32"/>
      <c r="E1048" s="32"/>
      <c r="F1048" s="32"/>
      <c r="G1048" s="32"/>
      <c r="H1048" s="33"/>
      <c r="I1048" s="10"/>
    </row>
    <row r="1049" spans="2:11" x14ac:dyDescent="0.2">
      <c r="B1049" s="34" t="s">
        <v>21</v>
      </c>
      <c r="C1049" s="35"/>
      <c r="D1049" s="35"/>
      <c r="E1049" s="35"/>
      <c r="F1049" s="35"/>
      <c r="G1049" s="35"/>
      <c r="H1049" s="36"/>
      <c r="I1049" s="10"/>
    </row>
    <row r="1050" spans="2:11" x14ac:dyDescent="0.2">
      <c r="B1050" s="37" t="s">
        <v>22</v>
      </c>
      <c r="C1050" s="38" t="s">
        <v>23</v>
      </c>
      <c r="D1050" s="38"/>
      <c r="E1050" s="38"/>
      <c r="F1050" s="38"/>
      <c r="G1050" s="38"/>
      <c r="H1050" s="39"/>
      <c r="I1050" s="10"/>
    </row>
    <row r="1051" spans="2:11" ht="10.8" thickBot="1" x14ac:dyDescent="0.25">
      <c r="B1051" s="40"/>
      <c r="C1051" s="41"/>
      <c r="D1051" s="41"/>
      <c r="E1051" s="41"/>
      <c r="F1051" s="41"/>
      <c r="G1051" s="41"/>
      <c r="H1051" s="41"/>
      <c r="I1051" s="42"/>
    </row>
    <row r="1052" spans="2:11" ht="10.8" thickTop="1" x14ac:dyDescent="0.2"/>
    <row r="1053" spans="2:11" ht="10.8" thickBot="1" x14ac:dyDescent="0.25"/>
    <row r="1054" spans="2:11" ht="10.8" thickTop="1" x14ac:dyDescent="0.2">
      <c r="B1054" s="4"/>
      <c r="C1054" s="4"/>
      <c r="D1054" s="4"/>
      <c r="E1054" s="4"/>
      <c r="F1054" s="4"/>
      <c r="G1054" s="4"/>
      <c r="H1054" s="4"/>
      <c r="I1054" s="5"/>
      <c r="K1054" s="2">
        <f>+K1033+1</f>
        <v>51</v>
      </c>
    </row>
    <row r="1055" spans="2:11" x14ac:dyDescent="0.2">
      <c r="B1055" s="7" t="s">
        <v>0</v>
      </c>
      <c r="C1055" s="8"/>
      <c r="D1055" s="8"/>
      <c r="E1055" s="8"/>
      <c r="F1055" s="8"/>
      <c r="G1055" s="8"/>
      <c r="H1055" s="9"/>
      <c r="I1055" s="10"/>
    </row>
    <row r="1056" spans="2:11" x14ac:dyDescent="0.2">
      <c r="B1056" s="11" t="s">
        <v>1</v>
      </c>
      <c r="C1056" s="12"/>
      <c r="D1056" s="12"/>
      <c r="E1056" s="12"/>
      <c r="F1056" s="12"/>
      <c r="G1056" s="12"/>
      <c r="H1056" s="13"/>
      <c r="I1056" s="10"/>
    </row>
    <row r="1057" spans="2:9" x14ac:dyDescent="0.2">
      <c r="B1057" s="11" t="s">
        <v>2</v>
      </c>
      <c r="C1057" s="12"/>
      <c r="D1057" s="12"/>
      <c r="E1057" s="12"/>
      <c r="F1057" s="12"/>
      <c r="G1057" s="12"/>
      <c r="H1057" s="13"/>
      <c r="I1057" s="10"/>
    </row>
    <row r="1058" spans="2:9" x14ac:dyDescent="0.2">
      <c r="B1058" s="14"/>
      <c r="H1058" s="15"/>
      <c r="I1058" s="10"/>
    </row>
    <row r="1059" spans="2:9" x14ac:dyDescent="0.2">
      <c r="B1059" s="16" t="s">
        <v>3</v>
      </c>
      <c r="C1059" s="17" t="s">
        <v>4</v>
      </c>
      <c r="D1059" s="18"/>
      <c r="E1059" s="18"/>
      <c r="F1059" s="18"/>
      <c r="G1059" s="18"/>
      <c r="H1059" s="19"/>
      <c r="I1059" s="10"/>
    </row>
    <row r="1060" spans="2:9" ht="20.399999999999999" x14ac:dyDescent="0.2">
      <c r="B1060" s="20" t="s">
        <v>5</v>
      </c>
      <c r="C1060" s="21" t="s">
        <v>6</v>
      </c>
      <c r="D1060" s="22"/>
      <c r="E1060" s="22"/>
      <c r="F1060" s="22"/>
      <c r="G1060" s="22"/>
      <c r="H1060" s="23"/>
      <c r="I1060" s="10"/>
    </row>
    <row r="1061" spans="2:9" x14ac:dyDescent="0.2">
      <c r="B1061" s="20" t="s">
        <v>7</v>
      </c>
      <c r="C1061" s="21" t="s">
        <v>8</v>
      </c>
      <c r="D1061" s="22"/>
      <c r="E1061" s="22"/>
      <c r="F1061" s="22"/>
      <c r="G1061" s="22"/>
      <c r="H1061" s="23"/>
      <c r="I1061" s="10"/>
    </row>
    <row r="1062" spans="2:9" x14ac:dyDescent="0.2">
      <c r="B1062" s="20" t="s">
        <v>9</v>
      </c>
      <c r="C1062" s="21" t="s">
        <v>10</v>
      </c>
      <c r="D1062" s="22"/>
      <c r="E1062" s="22"/>
      <c r="F1062" s="22"/>
      <c r="G1062" s="22"/>
      <c r="H1062" s="23"/>
      <c r="I1062" s="10"/>
    </row>
    <row r="1063" spans="2:9" x14ac:dyDescent="0.2">
      <c r="B1063" s="20" t="s">
        <v>11</v>
      </c>
      <c r="C1063" s="24" t="str">
        <f>VLOOKUP(K1054,'[1]FORM XIII'!C$14:P1279,3,0)</f>
        <v>DEVENDRA KUMAR</v>
      </c>
      <c r="D1063" s="25"/>
      <c r="E1063" s="25"/>
      <c r="F1063" s="25"/>
      <c r="G1063" s="25"/>
      <c r="H1063" s="26"/>
      <c r="I1063" s="10"/>
    </row>
    <row r="1064" spans="2:9" x14ac:dyDescent="0.2">
      <c r="B1064" s="20" t="s">
        <v>12</v>
      </c>
      <c r="C1064" s="24">
        <f>VLOOKUP(K1054,'[1]FORM XIII'!C$14:P1279,2,0)</f>
        <v>99135760</v>
      </c>
      <c r="D1064" s="25"/>
      <c r="E1064" s="25"/>
      <c r="F1064" s="25"/>
      <c r="G1064" s="25"/>
      <c r="H1064" s="26"/>
      <c r="I1064" s="10"/>
    </row>
    <row r="1065" spans="2:9" x14ac:dyDescent="0.2">
      <c r="B1065" s="20" t="s">
        <v>13</v>
      </c>
      <c r="C1065" s="24" t="str">
        <f>VLOOKUP(K1054,'[1]FORM XIII'!C$14:P1279,8,0)</f>
        <v>HELPER</v>
      </c>
      <c r="D1065" s="25"/>
      <c r="E1065" s="25"/>
      <c r="F1065" s="25"/>
      <c r="G1065" s="25"/>
      <c r="H1065" s="26"/>
      <c r="I1065" s="10"/>
    </row>
    <row r="1066" spans="2:9" ht="20.399999999999999" x14ac:dyDescent="0.2">
      <c r="B1066" s="20" t="s">
        <v>14</v>
      </c>
      <c r="C1066" s="44" t="s">
        <v>15</v>
      </c>
      <c r="D1066" s="45"/>
      <c r="E1066" s="45"/>
      <c r="F1066" s="45"/>
      <c r="G1066" s="45"/>
      <c r="H1066" s="46"/>
      <c r="I1066" s="10"/>
    </row>
    <row r="1067" spans="2:9" x14ac:dyDescent="0.2">
      <c r="B1067" s="20" t="s">
        <v>16</v>
      </c>
      <c r="C1067" s="44" t="s">
        <v>17</v>
      </c>
      <c r="D1067" s="45"/>
      <c r="E1067" s="45"/>
      <c r="F1067" s="45"/>
      <c r="G1067" s="45"/>
      <c r="H1067" s="46"/>
      <c r="I1067" s="10"/>
    </row>
    <row r="1068" spans="2:9" x14ac:dyDescent="0.2">
      <c r="B1068" s="20" t="s">
        <v>18</v>
      </c>
      <c r="C1068" s="47" t="s">
        <v>19</v>
      </c>
      <c r="D1068" s="22"/>
      <c r="E1068" s="22"/>
      <c r="F1068" s="22"/>
      <c r="G1068" s="22"/>
      <c r="H1068" s="23"/>
      <c r="I1068" s="10"/>
    </row>
    <row r="1069" spans="2:9" x14ac:dyDescent="0.2">
      <c r="B1069" s="30" t="s">
        <v>20</v>
      </c>
      <c r="C1069" s="31"/>
      <c r="D1069" s="32"/>
      <c r="E1069" s="32"/>
      <c r="F1069" s="32"/>
      <c r="G1069" s="32"/>
      <c r="H1069" s="33"/>
      <c r="I1069" s="10"/>
    </row>
    <row r="1070" spans="2:9" x14ac:dyDescent="0.2">
      <c r="B1070" s="34" t="s">
        <v>21</v>
      </c>
      <c r="C1070" s="35"/>
      <c r="D1070" s="35"/>
      <c r="E1070" s="35"/>
      <c r="F1070" s="35"/>
      <c r="G1070" s="35"/>
      <c r="H1070" s="36"/>
      <c r="I1070" s="10"/>
    </row>
    <row r="1071" spans="2:9" x14ac:dyDescent="0.2">
      <c r="B1071" s="37" t="s">
        <v>22</v>
      </c>
      <c r="C1071" s="38" t="s">
        <v>23</v>
      </c>
      <c r="D1071" s="38"/>
      <c r="E1071" s="38"/>
      <c r="F1071" s="38"/>
      <c r="G1071" s="38"/>
      <c r="H1071" s="39"/>
      <c r="I1071" s="10"/>
    </row>
    <row r="1072" spans="2:9" ht="10.8" thickBot="1" x14ac:dyDescent="0.25">
      <c r="B1072" s="40"/>
      <c r="C1072" s="41"/>
      <c r="D1072" s="41"/>
      <c r="E1072" s="41"/>
      <c r="F1072" s="41"/>
      <c r="G1072" s="41"/>
      <c r="H1072" s="41"/>
      <c r="I1072" s="42"/>
    </row>
    <row r="1073" spans="2:11" ht="10.8" thickTop="1" x14ac:dyDescent="0.2"/>
    <row r="1074" spans="2:11" ht="10.8" thickBot="1" x14ac:dyDescent="0.25"/>
    <row r="1075" spans="2:11" ht="10.8" thickTop="1" x14ac:dyDescent="0.2">
      <c r="B1075" s="4"/>
      <c r="C1075" s="4"/>
      <c r="D1075" s="4"/>
      <c r="E1075" s="4"/>
      <c r="F1075" s="4"/>
      <c r="G1075" s="4"/>
      <c r="H1075" s="4"/>
      <c r="I1075" s="5"/>
      <c r="K1075" s="2">
        <f>+K1054+1</f>
        <v>52</v>
      </c>
    </row>
    <row r="1076" spans="2:11" x14ac:dyDescent="0.2">
      <c r="B1076" s="7" t="s">
        <v>0</v>
      </c>
      <c r="C1076" s="8"/>
      <c r="D1076" s="8"/>
      <c r="E1076" s="8"/>
      <c r="F1076" s="8"/>
      <c r="G1076" s="8"/>
      <c r="H1076" s="9"/>
      <c r="I1076" s="10"/>
    </row>
    <row r="1077" spans="2:11" x14ac:dyDescent="0.2">
      <c r="B1077" s="11" t="s">
        <v>1</v>
      </c>
      <c r="C1077" s="12"/>
      <c r="D1077" s="12"/>
      <c r="E1077" s="12"/>
      <c r="F1077" s="12"/>
      <c r="G1077" s="12"/>
      <c r="H1077" s="13"/>
      <c r="I1077" s="10"/>
    </row>
    <row r="1078" spans="2:11" x14ac:dyDescent="0.2">
      <c r="B1078" s="11" t="s">
        <v>2</v>
      </c>
      <c r="C1078" s="12"/>
      <c r="D1078" s="12"/>
      <c r="E1078" s="12"/>
      <c r="F1078" s="12"/>
      <c r="G1078" s="12"/>
      <c r="H1078" s="13"/>
      <c r="I1078" s="10"/>
    </row>
    <row r="1079" spans="2:11" x14ac:dyDescent="0.2">
      <c r="B1079" s="14"/>
      <c r="H1079" s="15"/>
      <c r="I1079" s="10"/>
    </row>
    <row r="1080" spans="2:11" x14ac:dyDescent="0.2">
      <c r="B1080" s="16" t="s">
        <v>3</v>
      </c>
      <c r="C1080" s="17" t="s">
        <v>4</v>
      </c>
      <c r="D1080" s="18"/>
      <c r="E1080" s="18"/>
      <c r="F1080" s="18"/>
      <c r="G1080" s="18"/>
      <c r="H1080" s="19"/>
      <c r="I1080" s="10"/>
    </row>
    <row r="1081" spans="2:11" ht="20.399999999999999" x14ac:dyDescent="0.2">
      <c r="B1081" s="20" t="s">
        <v>5</v>
      </c>
      <c r="C1081" s="21" t="s">
        <v>6</v>
      </c>
      <c r="D1081" s="22"/>
      <c r="E1081" s="22"/>
      <c r="F1081" s="22"/>
      <c r="G1081" s="22"/>
      <c r="H1081" s="23"/>
      <c r="I1081" s="10"/>
    </row>
    <row r="1082" spans="2:11" x14ac:dyDescent="0.2">
      <c r="B1082" s="20" t="s">
        <v>7</v>
      </c>
      <c r="C1082" s="21" t="s">
        <v>8</v>
      </c>
      <c r="D1082" s="22"/>
      <c r="E1082" s="22"/>
      <c r="F1082" s="22"/>
      <c r="G1082" s="22"/>
      <c r="H1082" s="23"/>
      <c r="I1082" s="10"/>
    </row>
    <row r="1083" spans="2:11" x14ac:dyDescent="0.2">
      <c r="B1083" s="20" t="s">
        <v>9</v>
      </c>
      <c r="C1083" s="21" t="s">
        <v>10</v>
      </c>
      <c r="D1083" s="22"/>
      <c r="E1083" s="22"/>
      <c r="F1083" s="22"/>
      <c r="G1083" s="22"/>
      <c r="H1083" s="23"/>
      <c r="I1083" s="10"/>
    </row>
    <row r="1084" spans="2:11" x14ac:dyDescent="0.2">
      <c r="B1084" s="20" t="s">
        <v>11</v>
      </c>
      <c r="C1084" s="24" t="str">
        <f>VLOOKUP(K1075,'[1]FORM XIII'!C$14:P1300,3,0)</f>
        <v>JAGENDRA</v>
      </c>
      <c r="D1084" s="25"/>
      <c r="E1084" s="25"/>
      <c r="F1084" s="25"/>
      <c r="G1084" s="25"/>
      <c r="H1084" s="26"/>
      <c r="I1084" s="10"/>
    </row>
    <row r="1085" spans="2:11" x14ac:dyDescent="0.2">
      <c r="B1085" s="20" t="s">
        <v>12</v>
      </c>
      <c r="C1085" s="24">
        <f>VLOOKUP(K1075,'[1]FORM XIII'!C$14:P1300,2,0)</f>
        <v>72232205</v>
      </c>
      <c r="D1085" s="25"/>
      <c r="E1085" s="25"/>
      <c r="F1085" s="25"/>
      <c r="G1085" s="25"/>
      <c r="H1085" s="26"/>
      <c r="I1085" s="10"/>
    </row>
    <row r="1086" spans="2:11" x14ac:dyDescent="0.2">
      <c r="B1086" s="20" t="s">
        <v>13</v>
      </c>
      <c r="C1086" s="24" t="str">
        <f>VLOOKUP(K1075,'[1]FORM XIII'!C$14:P1300,8,0)</f>
        <v/>
      </c>
      <c r="D1086" s="25"/>
      <c r="E1086" s="25"/>
      <c r="F1086" s="25"/>
      <c r="G1086" s="25"/>
      <c r="H1086" s="26"/>
      <c r="I1086" s="10"/>
    </row>
    <row r="1087" spans="2:11" ht="20.399999999999999" x14ac:dyDescent="0.2">
      <c r="B1087" s="20" t="s">
        <v>14</v>
      </c>
      <c r="C1087" s="44" t="s">
        <v>15</v>
      </c>
      <c r="D1087" s="45"/>
      <c r="E1087" s="45"/>
      <c r="F1087" s="45"/>
      <c r="G1087" s="45"/>
      <c r="H1087" s="46"/>
      <c r="I1087" s="10"/>
    </row>
    <row r="1088" spans="2:11" x14ac:dyDescent="0.2">
      <c r="B1088" s="20" t="s">
        <v>16</v>
      </c>
      <c r="C1088" s="44" t="s">
        <v>17</v>
      </c>
      <c r="D1088" s="45"/>
      <c r="E1088" s="45"/>
      <c r="F1088" s="45"/>
      <c r="G1088" s="45"/>
      <c r="H1088" s="46"/>
      <c r="I1088" s="10"/>
    </row>
    <row r="1089" spans="2:11" x14ac:dyDescent="0.2">
      <c r="B1089" s="20" t="s">
        <v>18</v>
      </c>
      <c r="C1089" s="47" t="s">
        <v>19</v>
      </c>
      <c r="D1089" s="22"/>
      <c r="E1089" s="22"/>
      <c r="F1089" s="22"/>
      <c r="G1089" s="22"/>
      <c r="H1089" s="23"/>
      <c r="I1089" s="10"/>
    </row>
    <row r="1090" spans="2:11" x14ac:dyDescent="0.2">
      <c r="B1090" s="30" t="s">
        <v>20</v>
      </c>
      <c r="C1090" s="31"/>
      <c r="D1090" s="32"/>
      <c r="E1090" s="32"/>
      <c r="F1090" s="32"/>
      <c r="G1090" s="32"/>
      <c r="H1090" s="33"/>
      <c r="I1090" s="10"/>
    </row>
    <row r="1091" spans="2:11" x14ac:dyDescent="0.2">
      <c r="B1091" s="34" t="s">
        <v>21</v>
      </c>
      <c r="C1091" s="35"/>
      <c r="D1091" s="35"/>
      <c r="E1091" s="35"/>
      <c r="F1091" s="35"/>
      <c r="G1091" s="35"/>
      <c r="H1091" s="36"/>
      <c r="I1091" s="10"/>
    </row>
    <row r="1092" spans="2:11" x14ac:dyDescent="0.2">
      <c r="B1092" s="37" t="s">
        <v>22</v>
      </c>
      <c r="C1092" s="38" t="s">
        <v>23</v>
      </c>
      <c r="D1092" s="38"/>
      <c r="E1092" s="38"/>
      <c r="F1092" s="38"/>
      <c r="G1092" s="38"/>
      <c r="H1092" s="39"/>
      <c r="I1092" s="10"/>
    </row>
    <row r="1093" spans="2:11" ht="10.8" thickBot="1" x14ac:dyDescent="0.25">
      <c r="B1093" s="40"/>
      <c r="C1093" s="41"/>
      <c r="D1093" s="41"/>
      <c r="E1093" s="41"/>
      <c r="F1093" s="41"/>
      <c r="G1093" s="41"/>
      <c r="H1093" s="41"/>
      <c r="I1093" s="42"/>
    </row>
    <row r="1094" spans="2:11" ht="10.8" thickTop="1" x14ac:dyDescent="0.2"/>
    <row r="1095" spans="2:11" ht="10.8" thickBot="1" x14ac:dyDescent="0.25"/>
    <row r="1096" spans="2:11" ht="10.8" thickTop="1" x14ac:dyDescent="0.2">
      <c r="B1096" s="4"/>
      <c r="C1096" s="4"/>
      <c r="D1096" s="4"/>
      <c r="E1096" s="4"/>
      <c r="F1096" s="4"/>
      <c r="G1096" s="4"/>
      <c r="H1096" s="4"/>
      <c r="I1096" s="5"/>
      <c r="K1096" s="2">
        <f>+K1075+1</f>
        <v>53</v>
      </c>
    </row>
    <row r="1097" spans="2:11" x14ac:dyDescent="0.2">
      <c r="B1097" s="7" t="s">
        <v>0</v>
      </c>
      <c r="C1097" s="8"/>
      <c r="D1097" s="8"/>
      <c r="E1097" s="8"/>
      <c r="F1097" s="8"/>
      <c r="G1097" s="8"/>
      <c r="H1097" s="9"/>
      <c r="I1097" s="10"/>
    </row>
    <row r="1098" spans="2:11" x14ac:dyDescent="0.2">
      <c r="B1098" s="11" t="s">
        <v>1</v>
      </c>
      <c r="C1098" s="12"/>
      <c r="D1098" s="12"/>
      <c r="E1098" s="12"/>
      <c r="F1098" s="12"/>
      <c r="G1098" s="12"/>
      <c r="H1098" s="13"/>
      <c r="I1098" s="10"/>
    </row>
    <row r="1099" spans="2:11" x14ac:dyDescent="0.2">
      <c r="B1099" s="11" t="s">
        <v>2</v>
      </c>
      <c r="C1099" s="12"/>
      <c r="D1099" s="12"/>
      <c r="E1099" s="12"/>
      <c r="F1099" s="12"/>
      <c r="G1099" s="12"/>
      <c r="H1099" s="13"/>
      <c r="I1099" s="10"/>
    </row>
    <row r="1100" spans="2:11" x14ac:dyDescent="0.2">
      <c r="B1100" s="14"/>
      <c r="H1100" s="15"/>
      <c r="I1100" s="10"/>
    </row>
    <row r="1101" spans="2:11" x14ac:dyDescent="0.2">
      <c r="B1101" s="16" t="s">
        <v>3</v>
      </c>
      <c r="C1101" s="17" t="s">
        <v>4</v>
      </c>
      <c r="D1101" s="18"/>
      <c r="E1101" s="18"/>
      <c r="F1101" s="18"/>
      <c r="G1101" s="18"/>
      <c r="H1101" s="19"/>
      <c r="I1101" s="10"/>
    </row>
    <row r="1102" spans="2:11" ht="20.399999999999999" x14ac:dyDescent="0.2">
      <c r="B1102" s="20" t="s">
        <v>5</v>
      </c>
      <c r="C1102" s="21" t="s">
        <v>6</v>
      </c>
      <c r="D1102" s="22"/>
      <c r="E1102" s="22"/>
      <c r="F1102" s="22"/>
      <c r="G1102" s="22"/>
      <c r="H1102" s="23"/>
      <c r="I1102" s="10"/>
    </row>
    <row r="1103" spans="2:11" x14ac:dyDescent="0.2">
      <c r="B1103" s="20" t="s">
        <v>7</v>
      </c>
      <c r="C1103" s="21" t="s">
        <v>8</v>
      </c>
      <c r="D1103" s="22"/>
      <c r="E1103" s="22"/>
      <c r="F1103" s="22"/>
      <c r="G1103" s="22"/>
      <c r="H1103" s="23"/>
      <c r="I1103" s="10"/>
    </row>
    <row r="1104" spans="2:11" x14ac:dyDescent="0.2">
      <c r="B1104" s="20" t="s">
        <v>9</v>
      </c>
      <c r="C1104" s="21" t="s">
        <v>10</v>
      </c>
      <c r="D1104" s="22"/>
      <c r="E1104" s="22"/>
      <c r="F1104" s="22"/>
      <c r="G1104" s="22"/>
      <c r="H1104" s="23"/>
      <c r="I1104" s="10"/>
    </row>
    <row r="1105" spans="2:11" x14ac:dyDescent="0.2">
      <c r="B1105" s="20" t="s">
        <v>11</v>
      </c>
      <c r="C1105" s="24" t="str">
        <f>VLOOKUP(K1096,'[1]FORM XIII'!C$14:P1321,3,0)</f>
        <v>AMIT KUMAR</v>
      </c>
      <c r="D1105" s="25"/>
      <c r="E1105" s="25"/>
      <c r="F1105" s="25"/>
      <c r="G1105" s="25"/>
      <c r="H1105" s="26"/>
      <c r="I1105" s="10"/>
    </row>
    <row r="1106" spans="2:11" x14ac:dyDescent="0.2">
      <c r="B1106" s="20" t="s">
        <v>12</v>
      </c>
      <c r="C1106" s="24">
        <f>VLOOKUP(K1096,'[1]FORM XIII'!C$14:P1321,2,0)</f>
        <v>99124081</v>
      </c>
      <c r="D1106" s="25"/>
      <c r="E1106" s="25"/>
      <c r="F1106" s="25"/>
      <c r="G1106" s="25"/>
      <c r="H1106" s="26"/>
      <c r="I1106" s="10"/>
    </row>
    <row r="1107" spans="2:11" x14ac:dyDescent="0.2">
      <c r="B1107" s="20" t="s">
        <v>13</v>
      </c>
      <c r="C1107" s="24" t="str">
        <f>VLOOKUP(K1096,'[1]FORM XIII'!C$14:P1321,8,0)</f>
        <v>HELPER</v>
      </c>
      <c r="D1107" s="25"/>
      <c r="E1107" s="25"/>
      <c r="F1107" s="25"/>
      <c r="G1107" s="25"/>
      <c r="H1107" s="26"/>
      <c r="I1107" s="10"/>
    </row>
    <row r="1108" spans="2:11" ht="20.399999999999999" x14ac:dyDescent="0.2">
      <c r="B1108" s="20" t="s">
        <v>14</v>
      </c>
      <c r="C1108" s="44" t="s">
        <v>15</v>
      </c>
      <c r="D1108" s="45"/>
      <c r="E1108" s="45"/>
      <c r="F1108" s="45"/>
      <c r="G1108" s="45"/>
      <c r="H1108" s="46"/>
      <c r="I1108" s="10"/>
    </row>
    <row r="1109" spans="2:11" x14ac:dyDescent="0.2">
      <c r="B1109" s="20" t="s">
        <v>16</v>
      </c>
      <c r="C1109" s="44" t="s">
        <v>17</v>
      </c>
      <c r="D1109" s="45"/>
      <c r="E1109" s="45"/>
      <c r="F1109" s="45"/>
      <c r="G1109" s="45"/>
      <c r="H1109" s="46"/>
      <c r="I1109" s="10"/>
    </row>
    <row r="1110" spans="2:11" x14ac:dyDescent="0.2">
      <c r="B1110" s="20" t="s">
        <v>18</v>
      </c>
      <c r="C1110" s="47" t="s">
        <v>19</v>
      </c>
      <c r="D1110" s="22"/>
      <c r="E1110" s="22"/>
      <c r="F1110" s="22"/>
      <c r="G1110" s="22"/>
      <c r="H1110" s="23"/>
      <c r="I1110" s="10"/>
    </row>
    <row r="1111" spans="2:11" x14ac:dyDescent="0.2">
      <c r="B1111" s="30" t="s">
        <v>20</v>
      </c>
      <c r="C1111" s="31"/>
      <c r="D1111" s="32"/>
      <c r="E1111" s="32"/>
      <c r="F1111" s="32"/>
      <c r="G1111" s="32"/>
      <c r="H1111" s="33"/>
      <c r="I1111" s="10"/>
    </row>
    <row r="1112" spans="2:11" x14ac:dyDescent="0.2">
      <c r="B1112" s="34" t="s">
        <v>21</v>
      </c>
      <c r="C1112" s="35"/>
      <c r="D1112" s="35"/>
      <c r="E1112" s="35"/>
      <c r="F1112" s="35"/>
      <c r="G1112" s="35"/>
      <c r="H1112" s="36"/>
      <c r="I1112" s="10"/>
    </row>
    <row r="1113" spans="2:11" x14ac:dyDescent="0.2">
      <c r="B1113" s="37" t="s">
        <v>22</v>
      </c>
      <c r="C1113" s="38" t="s">
        <v>23</v>
      </c>
      <c r="D1113" s="38"/>
      <c r="E1113" s="38"/>
      <c r="F1113" s="38"/>
      <c r="G1113" s="38"/>
      <c r="H1113" s="39"/>
      <c r="I1113" s="10"/>
    </row>
    <row r="1114" spans="2:11" ht="10.8" thickBot="1" x14ac:dyDescent="0.25">
      <c r="B1114" s="40"/>
      <c r="C1114" s="41"/>
      <c r="D1114" s="41"/>
      <c r="E1114" s="41"/>
      <c r="F1114" s="41"/>
      <c r="G1114" s="41"/>
      <c r="H1114" s="41"/>
      <c r="I1114" s="42"/>
    </row>
    <row r="1115" spans="2:11" ht="10.8" thickTop="1" x14ac:dyDescent="0.2"/>
    <row r="1116" spans="2:11" ht="10.8" thickBot="1" x14ac:dyDescent="0.25"/>
    <row r="1117" spans="2:11" ht="10.8" thickTop="1" x14ac:dyDescent="0.2">
      <c r="B1117" s="4"/>
      <c r="C1117" s="4"/>
      <c r="D1117" s="4"/>
      <c r="E1117" s="4"/>
      <c r="F1117" s="4"/>
      <c r="G1117" s="4"/>
      <c r="H1117" s="4"/>
      <c r="I1117" s="5"/>
      <c r="K1117" s="2">
        <f>+K1096+1</f>
        <v>54</v>
      </c>
    </row>
    <row r="1118" spans="2:11" x14ac:dyDescent="0.2">
      <c r="B1118" s="7" t="s">
        <v>0</v>
      </c>
      <c r="C1118" s="8"/>
      <c r="D1118" s="8"/>
      <c r="E1118" s="8"/>
      <c r="F1118" s="8"/>
      <c r="G1118" s="8"/>
      <c r="H1118" s="9"/>
      <c r="I1118" s="10"/>
    </row>
    <row r="1119" spans="2:11" x14ac:dyDescent="0.2">
      <c r="B1119" s="11" t="s">
        <v>1</v>
      </c>
      <c r="C1119" s="12"/>
      <c r="D1119" s="12"/>
      <c r="E1119" s="12"/>
      <c r="F1119" s="12"/>
      <c r="G1119" s="12"/>
      <c r="H1119" s="13"/>
      <c r="I1119" s="10"/>
    </row>
    <row r="1120" spans="2:11" x14ac:dyDescent="0.2">
      <c r="B1120" s="11" t="s">
        <v>2</v>
      </c>
      <c r="C1120" s="12"/>
      <c r="D1120" s="12"/>
      <c r="E1120" s="12"/>
      <c r="F1120" s="12"/>
      <c r="G1120" s="12"/>
      <c r="H1120" s="13"/>
      <c r="I1120" s="10"/>
    </row>
    <row r="1121" spans="2:9" x14ac:dyDescent="0.2">
      <c r="B1121" s="14"/>
      <c r="H1121" s="15"/>
      <c r="I1121" s="10"/>
    </row>
    <row r="1122" spans="2:9" x14ac:dyDescent="0.2">
      <c r="B1122" s="16" t="s">
        <v>3</v>
      </c>
      <c r="C1122" s="17" t="s">
        <v>4</v>
      </c>
      <c r="D1122" s="18"/>
      <c r="E1122" s="18"/>
      <c r="F1122" s="18"/>
      <c r="G1122" s="18"/>
      <c r="H1122" s="19"/>
      <c r="I1122" s="10"/>
    </row>
    <row r="1123" spans="2:9" ht="20.399999999999999" x14ac:dyDescent="0.2">
      <c r="B1123" s="20" t="s">
        <v>5</v>
      </c>
      <c r="C1123" s="21" t="s">
        <v>6</v>
      </c>
      <c r="D1123" s="22"/>
      <c r="E1123" s="22"/>
      <c r="F1123" s="22"/>
      <c r="G1123" s="22"/>
      <c r="H1123" s="23"/>
      <c r="I1123" s="10"/>
    </row>
    <row r="1124" spans="2:9" x14ac:dyDescent="0.2">
      <c r="B1124" s="20" t="s">
        <v>7</v>
      </c>
      <c r="C1124" s="21" t="s">
        <v>8</v>
      </c>
      <c r="D1124" s="22"/>
      <c r="E1124" s="22"/>
      <c r="F1124" s="22"/>
      <c r="G1124" s="22"/>
      <c r="H1124" s="23"/>
      <c r="I1124" s="10"/>
    </row>
    <row r="1125" spans="2:9" x14ac:dyDescent="0.2">
      <c r="B1125" s="20" t="s">
        <v>9</v>
      </c>
      <c r="C1125" s="21" t="s">
        <v>10</v>
      </c>
      <c r="D1125" s="22"/>
      <c r="E1125" s="22"/>
      <c r="F1125" s="22"/>
      <c r="G1125" s="22"/>
      <c r="H1125" s="23"/>
      <c r="I1125" s="10"/>
    </row>
    <row r="1126" spans="2:9" x14ac:dyDescent="0.2">
      <c r="B1126" s="20" t="s">
        <v>11</v>
      </c>
      <c r="C1126" s="24" t="str">
        <f>VLOOKUP(K1117,'[1]FORM XIII'!C$14:P1342,3,0)</f>
        <v>JOGENDRA KUMAR</v>
      </c>
      <c r="D1126" s="25"/>
      <c r="E1126" s="25"/>
      <c r="F1126" s="25"/>
      <c r="G1126" s="25"/>
      <c r="H1126" s="26"/>
      <c r="I1126" s="10"/>
    </row>
    <row r="1127" spans="2:9" x14ac:dyDescent="0.2">
      <c r="B1127" s="20" t="s">
        <v>12</v>
      </c>
      <c r="C1127" s="24">
        <f>VLOOKUP(K1117,'[1]FORM XIII'!C$14:P1342,2,0)</f>
        <v>99124082</v>
      </c>
      <c r="D1127" s="25"/>
      <c r="E1127" s="25"/>
      <c r="F1127" s="25"/>
      <c r="G1127" s="25"/>
      <c r="H1127" s="26"/>
      <c r="I1127" s="10"/>
    </row>
    <row r="1128" spans="2:9" x14ac:dyDescent="0.2">
      <c r="B1128" s="20" t="s">
        <v>13</v>
      </c>
      <c r="C1128" s="24" t="str">
        <f>VLOOKUP(K1117,'[1]FORM XIII'!C$14:P1342,8,0)</f>
        <v>HELPER</v>
      </c>
      <c r="D1128" s="25"/>
      <c r="E1128" s="25"/>
      <c r="F1128" s="25"/>
      <c r="G1128" s="25"/>
      <c r="H1128" s="26"/>
      <c r="I1128" s="10"/>
    </row>
    <row r="1129" spans="2:9" ht="20.399999999999999" x14ac:dyDescent="0.2">
      <c r="B1129" s="20" t="s">
        <v>14</v>
      </c>
      <c r="C1129" s="44" t="s">
        <v>15</v>
      </c>
      <c r="D1129" s="45"/>
      <c r="E1129" s="45"/>
      <c r="F1129" s="45"/>
      <c r="G1129" s="45"/>
      <c r="H1129" s="46"/>
      <c r="I1129" s="10"/>
    </row>
    <row r="1130" spans="2:9" x14ac:dyDescent="0.2">
      <c r="B1130" s="20" t="s">
        <v>16</v>
      </c>
      <c r="C1130" s="44" t="s">
        <v>17</v>
      </c>
      <c r="D1130" s="45"/>
      <c r="E1130" s="45"/>
      <c r="F1130" s="45"/>
      <c r="G1130" s="45"/>
      <c r="H1130" s="46"/>
      <c r="I1130" s="10"/>
    </row>
    <row r="1131" spans="2:9" x14ac:dyDescent="0.2">
      <c r="B1131" s="20" t="s">
        <v>18</v>
      </c>
      <c r="C1131" s="47" t="s">
        <v>19</v>
      </c>
      <c r="D1131" s="22"/>
      <c r="E1131" s="22"/>
      <c r="F1131" s="22"/>
      <c r="G1131" s="22"/>
      <c r="H1131" s="23"/>
      <c r="I1131" s="10"/>
    </row>
    <row r="1132" spans="2:9" x14ac:dyDescent="0.2">
      <c r="B1132" s="30" t="s">
        <v>20</v>
      </c>
      <c r="C1132" s="31"/>
      <c r="D1132" s="32"/>
      <c r="E1132" s="32"/>
      <c r="F1132" s="32"/>
      <c r="G1132" s="32"/>
      <c r="H1132" s="33"/>
      <c r="I1132" s="10"/>
    </row>
    <row r="1133" spans="2:9" x14ac:dyDescent="0.2">
      <c r="B1133" s="34" t="s">
        <v>21</v>
      </c>
      <c r="C1133" s="35"/>
      <c r="D1133" s="35"/>
      <c r="E1133" s="35"/>
      <c r="F1133" s="35"/>
      <c r="G1133" s="35"/>
      <c r="H1133" s="36"/>
      <c r="I1133" s="10"/>
    </row>
    <row r="1134" spans="2:9" x14ac:dyDescent="0.2">
      <c r="B1134" s="37" t="s">
        <v>22</v>
      </c>
      <c r="C1134" s="38" t="s">
        <v>23</v>
      </c>
      <c r="D1134" s="38"/>
      <c r="E1134" s="38"/>
      <c r="F1134" s="38"/>
      <c r="G1134" s="38"/>
      <c r="H1134" s="39"/>
      <c r="I1134" s="10"/>
    </row>
    <row r="1135" spans="2:9" ht="10.8" thickBot="1" x14ac:dyDescent="0.25">
      <c r="B1135" s="40"/>
      <c r="C1135" s="41"/>
      <c r="D1135" s="41"/>
      <c r="E1135" s="41"/>
      <c r="F1135" s="41"/>
      <c r="G1135" s="41"/>
      <c r="H1135" s="41"/>
      <c r="I1135" s="42"/>
    </row>
    <row r="1136" spans="2:9" ht="10.8" thickTop="1" x14ac:dyDescent="0.2"/>
    <row r="1137" spans="2:11" ht="10.8" thickBot="1" x14ac:dyDescent="0.25"/>
    <row r="1138" spans="2:11" ht="10.8" thickTop="1" x14ac:dyDescent="0.2">
      <c r="B1138" s="4"/>
      <c r="C1138" s="4"/>
      <c r="D1138" s="4"/>
      <c r="E1138" s="4"/>
      <c r="F1138" s="4"/>
      <c r="G1138" s="4"/>
      <c r="H1138" s="4"/>
      <c r="I1138" s="5"/>
      <c r="K1138" s="2">
        <f>+K1117+1</f>
        <v>55</v>
      </c>
    </row>
    <row r="1139" spans="2:11" x14ac:dyDescent="0.2">
      <c r="B1139" s="7" t="s">
        <v>0</v>
      </c>
      <c r="C1139" s="8"/>
      <c r="D1139" s="8"/>
      <c r="E1139" s="8"/>
      <c r="F1139" s="8"/>
      <c r="G1139" s="8"/>
      <c r="H1139" s="9"/>
      <c r="I1139" s="10"/>
    </row>
    <row r="1140" spans="2:11" x14ac:dyDescent="0.2">
      <c r="B1140" s="11" t="s">
        <v>1</v>
      </c>
      <c r="C1140" s="12"/>
      <c r="D1140" s="12"/>
      <c r="E1140" s="12"/>
      <c r="F1140" s="12"/>
      <c r="G1140" s="12"/>
      <c r="H1140" s="13"/>
      <c r="I1140" s="10"/>
    </row>
    <row r="1141" spans="2:11" x14ac:dyDescent="0.2">
      <c r="B1141" s="11" t="s">
        <v>2</v>
      </c>
      <c r="C1141" s="12"/>
      <c r="D1141" s="12"/>
      <c r="E1141" s="12"/>
      <c r="F1141" s="12"/>
      <c r="G1141" s="12"/>
      <c r="H1141" s="13"/>
      <c r="I1141" s="10"/>
    </row>
    <row r="1142" spans="2:11" x14ac:dyDescent="0.2">
      <c r="B1142" s="14"/>
      <c r="H1142" s="15"/>
      <c r="I1142" s="10"/>
    </row>
    <row r="1143" spans="2:11" x14ac:dyDescent="0.2">
      <c r="B1143" s="16" t="s">
        <v>3</v>
      </c>
      <c r="C1143" s="17" t="s">
        <v>4</v>
      </c>
      <c r="D1143" s="18"/>
      <c r="E1143" s="18"/>
      <c r="F1143" s="18"/>
      <c r="G1143" s="18"/>
      <c r="H1143" s="19"/>
      <c r="I1143" s="10"/>
    </row>
    <row r="1144" spans="2:11" ht="20.399999999999999" x14ac:dyDescent="0.2">
      <c r="B1144" s="20" t="s">
        <v>5</v>
      </c>
      <c r="C1144" s="21" t="s">
        <v>6</v>
      </c>
      <c r="D1144" s="22"/>
      <c r="E1144" s="22"/>
      <c r="F1144" s="22"/>
      <c r="G1144" s="22"/>
      <c r="H1144" s="23"/>
      <c r="I1144" s="10"/>
    </row>
    <row r="1145" spans="2:11" x14ac:dyDescent="0.2">
      <c r="B1145" s="20" t="s">
        <v>7</v>
      </c>
      <c r="C1145" s="21" t="s">
        <v>8</v>
      </c>
      <c r="D1145" s="22"/>
      <c r="E1145" s="22"/>
      <c r="F1145" s="22"/>
      <c r="G1145" s="22"/>
      <c r="H1145" s="23"/>
      <c r="I1145" s="10"/>
    </row>
    <row r="1146" spans="2:11" x14ac:dyDescent="0.2">
      <c r="B1146" s="20" t="s">
        <v>9</v>
      </c>
      <c r="C1146" s="21" t="s">
        <v>10</v>
      </c>
      <c r="D1146" s="22"/>
      <c r="E1146" s="22"/>
      <c r="F1146" s="22"/>
      <c r="G1146" s="22"/>
      <c r="H1146" s="23"/>
      <c r="I1146" s="10"/>
    </row>
    <row r="1147" spans="2:11" x14ac:dyDescent="0.2">
      <c r="B1147" s="20" t="s">
        <v>11</v>
      </c>
      <c r="C1147" s="24" t="str">
        <f>VLOOKUP(K1138,'[1]FORM XIII'!C$14:P1363,3,0)</f>
        <v>SHEKHAR</v>
      </c>
      <c r="D1147" s="25"/>
      <c r="E1147" s="25"/>
      <c r="F1147" s="25"/>
      <c r="G1147" s="25"/>
      <c r="H1147" s="26"/>
      <c r="I1147" s="10"/>
    </row>
    <row r="1148" spans="2:11" x14ac:dyDescent="0.2">
      <c r="B1148" s="20" t="s">
        <v>12</v>
      </c>
      <c r="C1148" s="24">
        <f>VLOOKUP(K1138,'[1]FORM XIII'!C$14:P1363,2,0)</f>
        <v>99134610</v>
      </c>
      <c r="D1148" s="25"/>
      <c r="E1148" s="25"/>
      <c r="F1148" s="25"/>
      <c r="G1148" s="25"/>
      <c r="H1148" s="26"/>
      <c r="I1148" s="10"/>
    </row>
    <row r="1149" spans="2:11" x14ac:dyDescent="0.2">
      <c r="B1149" s="20" t="s">
        <v>13</v>
      </c>
      <c r="C1149" s="24" t="str">
        <f>VLOOKUP(K1138,'[1]FORM XIII'!C$14:P1363,8,0)</f>
        <v>HELPER</v>
      </c>
      <c r="D1149" s="25"/>
      <c r="E1149" s="25"/>
      <c r="F1149" s="25"/>
      <c r="G1149" s="25"/>
      <c r="H1149" s="26"/>
      <c r="I1149" s="10"/>
    </row>
    <row r="1150" spans="2:11" ht="20.399999999999999" x14ac:dyDescent="0.2">
      <c r="B1150" s="20" t="s">
        <v>14</v>
      </c>
      <c r="C1150" s="44" t="s">
        <v>15</v>
      </c>
      <c r="D1150" s="45"/>
      <c r="E1150" s="45"/>
      <c r="F1150" s="45"/>
      <c r="G1150" s="45"/>
      <c r="H1150" s="46"/>
      <c r="I1150" s="10"/>
    </row>
    <row r="1151" spans="2:11" x14ac:dyDescent="0.2">
      <c r="B1151" s="20" t="s">
        <v>16</v>
      </c>
      <c r="C1151" s="44" t="s">
        <v>17</v>
      </c>
      <c r="D1151" s="45"/>
      <c r="E1151" s="45"/>
      <c r="F1151" s="45"/>
      <c r="G1151" s="45"/>
      <c r="H1151" s="46"/>
      <c r="I1151" s="10"/>
    </row>
    <row r="1152" spans="2:11" x14ac:dyDescent="0.2">
      <c r="B1152" s="20" t="s">
        <v>18</v>
      </c>
      <c r="C1152" s="47" t="s">
        <v>19</v>
      </c>
      <c r="D1152" s="22"/>
      <c r="E1152" s="22"/>
      <c r="F1152" s="22"/>
      <c r="G1152" s="22"/>
      <c r="H1152" s="23"/>
      <c r="I1152" s="10"/>
    </row>
    <row r="1153" spans="2:11" x14ac:dyDescent="0.2">
      <c r="B1153" s="30" t="s">
        <v>20</v>
      </c>
      <c r="C1153" s="31"/>
      <c r="D1153" s="32"/>
      <c r="E1153" s="32"/>
      <c r="F1153" s="32"/>
      <c r="G1153" s="32"/>
      <c r="H1153" s="33"/>
      <c r="I1153" s="10"/>
    </row>
    <row r="1154" spans="2:11" x14ac:dyDescent="0.2">
      <c r="B1154" s="34" t="s">
        <v>21</v>
      </c>
      <c r="C1154" s="35"/>
      <c r="D1154" s="35"/>
      <c r="E1154" s="35"/>
      <c r="F1154" s="35"/>
      <c r="G1154" s="35"/>
      <c r="H1154" s="36"/>
      <c r="I1154" s="10"/>
    </row>
    <row r="1155" spans="2:11" x14ac:dyDescent="0.2">
      <c r="B1155" s="37" t="s">
        <v>22</v>
      </c>
      <c r="C1155" s="38" t="s">
        <v>23</v>
      </c>
      <c r="D1155" s="38"/>
      <c r="E1155" s="38"/>
      <c r="F1155" s="38"/>
      <c r="G1155" s="38"/>
      <c r="H1155" s="39"/>
      <c r="I1155" s="10"/>
    </row>
    <row r="1156" spans="2:11" ht="10.8" thickBot="1" x14ac:dyDescent="0.25">
      <c r="B1156" s="40"/>
      <c r="C1156" s="41"/>
      <c r="D1156" s="41"/>
      <c r="E1156" s="41"/>
      <c r="F1156" s="41"/>
      <c r="G1156" s="41"/>
      <c r="H1156" s="41"/>
      <c r="I1156" s="42"/>
    </row>
    <row r="1157" spans="2:11" ht="10.8" thickTop="1" x14ac:dyDescent="0.2"/>
    <row r="1158" spans="2:11" ht="10.8" thickBot="1" x14ac:dyDescent="0.25"/>
    <row r="1159" spans="2:11" ht="10.8" thickTop="1" x14ac:dyDescent="0.2">
      <c r="B1159" s="4"/>
      <c r="C1159" s="4"/>
      <c r="D1159" s="4"/>
      <c r="E1159" s="4"/>
      <c r="F1159" s="4"/>
      <c r="G1159" s="4"/>
      <c r="H1159" s="4"/>
      <c r="I1159" s="5"/>
      <c r="J1159" s="6"/>
      <c r="K1159" s="2">
        <f>+K1138+1</f>
        <v>56</v>
      </c>
    </row>
    <row r="1160" spans="2:11" x14ac:dyDescent="0.2">
      <c r="B1160" s="7" t="s">
        <v>0</v>
      </c>
      <c r="C1160" s="8"/>
      <c r="D1160" s="8"/>
      <c r="E1160" s="8"/>
      <c r="F1160" s="8"/>
      <c r="G1160" s="8"/>
      <c r="H1160" s="9"/>
      <c r="I1160" s="10"/>
      <c r="J1160" s="6"/>
    </row>
    <row r="1161" spans="2:11" x14ac:dyDescent="0.2">
      <c r="B1161" s="11" t="s">
        <v>1</v>
      </c>
      <c r="C1161" s="12"/>
      <c r="D1161" s="12"/>
      <c r="E1161" s="12"/>
      <c r="F1161" s="12"/>
      <c r="G1161" s="12"/>
      <c r="H1161" s="13"/>
      <c r="I1161" s="10"/>
      <c r="J1161" s="6"/>
    </row>
    <row r="1162" spans="2:11" x14ac:dyDescent="0.2">
      <c r="B1162" s="11" t="s">
        <v>2</v>
      </c>
      <c r="C1162" s="12"/>
      <c r="D1162" s="12"/>
      <c r="E1162" s="12"/>
      <c r="F1162" s="12"/>
      <c r="G1162" s="12"/>
      <c r="H1162" s="13"/>
      <c r="I1162" s="10"/>
      <c r="J1162" s="6"/>
    </row>
    <row r="1163" spans="2:11" x14ac:dyDescent="0.2">
      <c r="B1163" s="14"/>
      <c r="H1163" s="15"/>
      <c r="I1163" s="10"/>
      <c r="J1163" s="6"/>
    </row>
    <row r="1164" spans="2:11" x14ac:dyDescent="0.2">
      <c r="B1164" s="16" t="s">
        <v>3</v>
      </c>
      <c r="C1164" s="17" t="s">
        <v>4</v>
      </c>
      <c r="D1164" s="18"/>
      <c r="E1164" s="18"/>
      <c r="F1164" s="18"/>
      <c r="G1164" s="18"/>
      <c r="H1164" s="19"/>
      <c r="I1164" s="10"/>
      <c r="J1164" s="6"/>
    </row>
    <row r="1165" spans="2:11" ht="20.399999999999999" x14ac:dyDescent="0.2">
      <c r="B1165" s="20" t="s">
        <v>5</v>
      </c>
      <c r="C1165" s="21" t="s">
        <v>6</v>
      </c>
      <c r="D1165" s="22"/>
      <c r="E1165" s="22"/>
      <c r="F1165" s="22"/>
      <c r="G1165" s="22"/>
      <c r="H1165" s="23"/>
      <c r="I1165" s="10"/>
      <c r="J1165" s="6"/>
    </row>
    <row r="1166" spans="2:11" x14ac:dyDescent="0.2">
      <c r="B1166" s="20" t="s">
        <v>7</v>
      </c>
      <c r="C1166" s="21" t="s">
        <v>8</v>
      </c>
      <c r="D1166" s="22"/>
      <c r="E1166" s="22"/>
      <c r="F1166" s="22"/>
      <c r="G1166" s="22"/>
      <c r="H1166" s="23"/>
      <c r="I1166" s="10"/>
      <c r="J1166" s="6"/>
    </row>
    <row r="1167" spans="2:11" x14ac:dyDescent="0.2">
      <c r="B1167" s="20" t="s">
        <v>9</v>
      </c>
      <c r="C1167" s="21" t="s">
        <v>10</v>
      </c>
      <c r="D1167" s="22"/>
      <c r="E1167" s="22"/>
      <c r="F1167" s="22"/>
      <c r="G1167" s="22"/>
      <c r="H1167" s="23"/>
      <c r="I1167" s="10"/>
      <c r="J1167" s="6"/>
    </row>
    <row r="1168" spans="2:11" x14ac:dyDescent="0.2">
      <c r="B1168" s="20" t="s">
        <v>11</v>
      </c>
      <c r="C1168" s="24" t="str">
        <f>VLOOKUP(K1159,'[1]FORM XIII'!C$14:P1384,3,0)</f>
        <v>VISHAL</v>
      </c>
      <c r="D1168" s="25"/>
      <c r="E1168" s="25"/>
      <c r="F1168" s="25"/>
      <c r="G1168" s="25"/>
      <c r="H1168" s="26"/>
      <c r="I1168" s="10"/>
      <c r="J1168" s="6"/>
    </row>
    <row r="1169" spans="2:11" x14ac:dyDescent="0.2">
      <c r="B1169" s="20" t="s">
        <v>12</v>
      </c>
      <c r="C1169" s="24">
        <f>VLOOKUP(K1159,'[1]FORM XIII'!C$14:P1384,2,0)</f>
        <v>99136181</v>
      </c>
      <c r="D1169" s="25"/>
      <c r="E1169" s="25"/>
      <c r="F1169" s="25"/>
      <c r="G1169" s="25"/>
      <c r="H1169" s="26"/>
      <c r="I1169" s="10"/>
      <c r="J1169" s="6"/>
    </row>
    <row r="1170" spans="2:11" x14ac:dyDescent="0.2">
      <c r="B1170" s="20" t="s">
        <v>13</v>
      </c>
      <c r="C1170" s="24" t="str">
        <f>VLOOKUP(K1159,'[1]FORM XIII'!C$14:P1384,8,0)</f>
        <v>HELPER</v>
      </c>
      <c r="D1170" s="25"/>
      <c r="E1170" s="25"/>
      <c r="F1170" s="25"/>
      <c r="G1170" s="25"/>
      <c r="H1170" s="26"/>
      <c r="I1170" s="10"/>
      <c r="J1170" s="6"/>
    </row>
    <row r="1171" spans="2:11" ht="20.399999999999999" x14ac:dyDescent="0.2">
      <c r="B1171" s="20" t="s">
        <v>14</v>
      </c>
      <c r="C1171" s="44" t="s">
        <v>15</v>
      </c>
      <c r="D1171" s="45"/>
      <c r="E1171" s="45"/>
      <c r="F1171" s="45"/>
      <c r="G1171" s="45"/>
      <c r="H1171" s="46"/>
      <c r="I1171" s="10"/>
      <c r="J1171" s="6"/>
    </row>
    <row r="1172" spans="2:11" x14ac:dyDescent="0.2">
      <c r="B1172" s="20" t="s">
        <v>16</v>
      </c>
      <c r="C1172" s="44" t="s">
        <v>17</v>
      </c>
      <c r="D1172" s="45"/>
      <c r="E1172" s="45"/>
      <c r="F1172" s="45"/>
      <c r="G1172" s="45"/>
      <c r="H1172" s="46"/>
      <c r="I1172" s="10"/>
      <c r="J1172" s="6"/>
    </row>
    <row r="1173" spans="2:11" x14ac:dyDescent="0.2">
      <c r="B1173" s="20" t="s">
        <v>18</v>
      </c>
      <c r="C1173" s="47" t="s">
        <v>19</v>
      </c>
      <c r="D1173" s="22"/>
      <c r="E1173" s="22"/>
      <c r="F1173" s="22"/>
      <c r="G1173" s="22"/>
      <c r="H1173" s="23"/>
      <c r="I1173" s="10"/>
      <c r="J1173" s="6"/>
    </row>
    <row r="1174" spans="2:11" x14ac:dyDescent="0.2">
      <c r="B1174" s="30" t="s">
        <v>20</v>
      </c>
      <c r="C1174" s="31"/>
      <c r="D1174" s="32"/>
      <c r="E1174" s="32"/>
      <c r="F1174" s="32"/>
      <c r="G1174" s="32"/>
      <c r="H1174" s="33"/>
      <c r="I1174" s="10"/>
      <c r="J1174" s="6"/>
    </row>
    <row r="1175" spans="2:11" x14ac:dyDescent="0.2">
      <c r="B1175" s="34" t="s">
        <v>21</v>
      </c>
      <c r="C1175" s="35"/>
      <c r="D1175" s="35"/>
      <c r="E1175" s="35"/>
      <c r="F1175" s="35"/>
      <c r="G1175" s="35"/>
      <c r="H1175" s="36"/>
      <c r="I1175" s="10"/>
      <c r="J1175" s="6"/>
    </row>
    <row r="1176" spans="2:11" x14ac:dyDescent="0.2">
      <c r="B1176" s="37" t="s">
        <v>22</v>
      </c>
      <c r="C1176" s="38" t="s">
        <v>23</v>
      </c>
      <c r="D1176" s="38"/>
      <c r="E1176" s="38"/>
      <c r="F1176" s="38"/>
      <c r="G1176" s="38"/>
      <c r="H1176" s="39"/>
      <c r="I1176" s="10"/>
      <c r="J1176" s="6"/>
    </row>
    <row r="1177" spans="2:11" ht="10.8" thickBot="1" x14ac:dyDescent="0.25">
      <c r="B1177" s="40"/>
      <c r="C1177" s="41"/>
      <c r="D1177" s="41"/>
      <c r="E1177" s="41"/>
      <c r="F1177" s="41"/>
      <c r="G1177" s="41"/>
      <c r="H1177" s="41"/>
      <c r="I1177" s="42"/>
      <c r="J1177" s="6"/>
    </row>
    <row r="1178" spans="2:11" ht="10.8" thickTop="1" x14ac:dyDescent="0.2">
      <c r="J1178" s="6"/>
    </row>
    <row r="1179" spans="2:11" ht="10.8" thickBot="1" x14ac:dyDescent="0.25"/>
    <row r="1180" spans="2:11" ht="10.8" thickTop="1" x14ac:dyDescent="0.2">
      <c r="B1180" s="4"/>
      <c r="C1180" s="4"/>
      <c r="D1180" s="4"/>
      <c r="E1180" s="4"/>
      <c r="F1180" s="4"/>
      <c r="G1180" s="4"/>
      <c r="H1180" s="4"/>
      <c r="I1180" s="5"/>
      <c r="K1180" s="2">
        <f>+K1159+1</f>
        <v>57</v>
      </c>
    </row>
    <row r="1181" spans="2:11" x14ac:dyDescent="0.2">
      <c r="B1181" s="7" t="s">
        <v>0</v>
      </c>
      <c r="C1181" s="8"/>
      <c r="D1181" s="8"/>
      <c r="E1181" s="8"/>
      <c r="F1181" s="8"/>
      <c r="G1181" s="8"/>
      <c r="H1181" s="9"/>
      <c r="I1181" s="10"/>
    </row>
    <row r="1182" spans="2:11" x14ac:dyDescent="0.2">
      <c r="B1182" s="11" t="s">
        <v>1</v>
      </c>
      <c r="C1182" s="12"/>
      <c r="D1182" s="12"/>
      <c r="E1182" s="12"/>
      <c r="F1182" s="12"/>
      <c r="G1182" s="12"/>
      <c r="H1182" s="13"/>
      <c r="I1182" s="10"/>
    </row>
    <row r="1183" spans="2:11" x14ac:dyDescent="0.2">
      <c r="B1183" s="11" t="s">
        <v>2</v>
      </c>
      <c r="C1183" s="12"/>
      <c r="D1183" s="12"/>
      <c r="E1183" s="12"/>
      <c r="F1183" s="12"/>
      <c r="G1183" s="12"/>
      <c r="H1183" s="13"/>
      <c r="I1183" s="10"/>
    </row>
    <row r="1184" spans="2:11" x14ac:dyDescent="0.2">
      <c r="B1184" s="14"/>
      <c r="H1184" s="15"/>
      <c r="I1184" s="10"/>
    </row>
    <row r="1185" spans="2:9" x14ac:dyDescent="0.2">
      <c r="B1185" s="16" t="s">
        <v>3</v>
      </c>
      <c r="C1185" s="17" t="s">
        <v>4</v>
      </c>
      <c r="D1185" s="18"/>
      <c r="E1185" s="18"/>
      <c r="F1185" s="18"/>
      <c r="G1185" s="18"/>
      <c r="H1185" s="19"/>
      <c r="I1185" s="10"/>
    </row>
    <row r="1186" spans="2:9" ht="20.399999999999999" x14ac:dyDescent="0.2">
      <c r="B1186" s="20" t="s">
        <v>5</v>
      </c>
      <c r="C1186" s="21" t="s">
        <v>6</v>
      </c>
      <c r="D1186" s="22"/>
      <c r="E1186" s="22"/>
      <c r="F1186" s="22"/>
      <c r="G1186" s="22"/>
      <c r="H1186" s="23"/>
      <c r="I1186" s="10"/>
    </row>
    <row r="1187" spans="2:9" x14ac:dyDescent="0.2">
      <c r="B1187" s="20" t="s">
        <v>7</v>
      </c>
      <c r="C1187" s="21" t="s">
        <v>8</v>
      </c>
      <c r="D1187" s="22"/>
      <c r="E1187" s="22"/>
      <c r="F1187" s="22"/>
      <c r="G1187" s="22"/>
      <c r="H1187" s="23"/>
      <c r="I1187" s="10"/>
    </row>
    <row r="1188" spans="2:9" x14ac:dyDescent="0.2">
      <c r="B1188" s="20" t="s">
        <v>9</v>
      </c>
      <c r="C1188" s="21" t="s">
        <v>10</v>
      </c>
      <c r="D1188" s="22"/>
      <c r="E1188" s="22"/>
      <c r="F1188" s="22"/>
      <c r="G1188" s="22"/>
      <c r="H1188" s="23"/>
      <c r="I1188" s="10"/>
    </row>
    <row r="1189" spans="2:9" x14ac:dyDescent="0.2">
      <c r="B1189" s="20" t="s">
        <v>11</v>
      </c>
      <c r="C1189" s="24" t="str">
        <f>VLOOKUP(K1180,'[1]FORM XIII'!C$14:P1405,3,0)</f>
        <v>ANKIT KUMAR</v>
      </c>
      <c r="D1189" s="25"/>
      <c r="E1189" s="25"/>
      <c r="F1189" s="25"/>
      <c r="G1189" s="25"/>
      <c r="H1189" s="26"/>
      <c r="I1189" s="10"/>
    </row>
    <row r="1190" spans="2:9" x14ac:dyDescent="0.2">
      <c r="B1190" s="20" t="s">
        <v>12</v>
      </c>
      <c r="C1190" s="24">
        <f>VLOOKUP(K1180,'[1]FORM XIII'!C$14:P1405,2,0)</f>
        <v>72222009</v>
      </c>
      <c r="D1190" s="25"/>
      <c r="E1190" s="25"/>
      <c r="F1190" s="25"/>
      <c r="G1190" s="25"/>
      <c r="H1190" s="26"/>
      <c r="I1190" s="10"/>
    </row>
    <row r="1191" spans="2:9" x14ac:dyDescent="0.2">
      <c r="B1191" s="20" t="s">
        <v>13</v>
      </c>
      <c r="C1191" s="24" t="str">
        <f>VLOOKUP(K1180,'[1]FORM XIII'!C$14:P1405,8,0)</f>
        <v/>
      </c>
      <c r="D1191" s="25"/>
      <c r="E1191" s="25"/>
      <c r="F1191" s="25"/>
      <c r="G1191" s="25"/>
      <c r="H1191" s="26"/>
      <c r="I1191" s="10"/>
    </row>
    <row r="1192" spans="2:9" ht="20.399999999999999" x14ac:dyDescent="0.2">
      <c r="B1192" s="20" t="s">
        <v>14</v>
      </c>
      <c r="C1192" s="44" t="s">
        <v>15</v>
      </c>
      <c r="D1192" s="45"/>
      <c r="E1192" s="45"/>
      <c r="F1192" s="45"/>
      <c r="G1192" s="45"/>
      <c r="H1192" s="46"/>
      <c r="I1192" s="10"/>
    </row>
    <row r="1193" spans="2:9" x14ac:dyDescent="0.2">
      <c r="B1193" s="20" t="s">
        <v>16</v>
      </c>
      <c r="C1193" s="44" t="s">
        <v>17</v>
      </c>
      <c r="D1193" s="45"/>
      <c r="E1193" s="45"/>
      <c r="F1193" s="45"/>
      <c r="G1193" s="45"/>
      <c r="H1193" s="46"/>
      <c r="I1193" s="10"/>
    </row>
    <row r="1194" spans="2:9" x14ac:dyDescent="0.2">
      <c r="B1194" s="20" t="s">
        <v>18</v>
      </c>
      <c r="C1194" s="47" t="s">
        <v>19</v>
      </c>
      <c r="D1194" s="22"/>
      <c r="E1194" s="22"/>
      <c r="F1194" s="22"/>
      <c r="G1194" s="22"/>
      <c r="H1194" s="23"/>
      <c r="I1194" s="10"/>
    </row>
    <row r="1195" spans="2:9" x14ac:dyDescent="0.2">
      <c r="B1195" s="30" t="s">
        <v>20</v>
      </c>
      <c r="C1195" s="31"/>
      <c r="D1195" s="32"/>
      <c r="E1195" s="32"/>
      <c r="F1195" s="32"/>
      <c r="G1195" s="32"/>
      <c r="H1195" s="33"/>
      <c r="I1195" s="10"/>
    </row>
    <row r="1196" spans="2:9" x14ac:dyDescent="0.2">
      <c r="B1196" s="34" t="s">
        <v>21</v>
      </c>
      <c r="C1196" s="35"/>
      <c r="D1196" s="35"/>
      <c r="E1196" s="35"/>
      <c r="F1196" s="35"/>
      <c r="G1196" s="35"/>
      <c r="H1196" s="36"/>
      <c r="I1196" s="10"/>
    </row>
    <row r="1197" spans="2:9" x14ac:dyDescent="0.2">
      <c r="B1197" s="37" t="s">
        <v>22</v>
      </c>
      <c r="C1197" s="38" t="s">
        <v>23</v>
      </c>
      <c r="D1197" s="38"/>
      <c r="E1197" s="38"/>
      <c r="F1197" s="38"/>
      <c r="G1197" s="38"/>
      <c r="H1197" s="39"/>
      <c r="I1197" s="10"/>
    </row>
    <row r="1198" spans="2:9" ht="10.8" thickBot="1" x14ac:dyDescent="0.25">
      <c r="B1198" s="40"/>
      <c r="C1198" s="41"/>
      <c r="D1198" s="41"/>
      <c r="E1198" s="41"/>
      <c r="F1198" s="41"/>
      <c r="G1198" s="41"/>
      <c r="H1198" s="41"/>
      <c r="I1198" s="42"/>
    </row>
    <row r="1199" spans="2:9" ht="10.8" thickTop="1" x14ac:dyDescent="0.2"/>
    <row r="1200" spans="2:9" ht="10.8" thickBot="1" x14ac:dyDescent="0.25"/>
    <row r="1201" spans="2:11" ht="10.8" thickTop="1" x14ac:dyDescent="0.2">
      <c r="B1201" s="4"/>
      <c r="C1201" s="4"/>
      <c r="D1201" s="4"/>
      <c r="E1201" s="4"/>
      <c r="F1201" s="4"/>
      <c r="G1201" s="4"/>
      <c r="H1201" s="4"/>
      <c r="I1201" s="5"/>
      <c r="K1201" s="2">
        <f>+K1180+1</f>
        <v>58</v>
      </c>
    </row>
    <row r="1202" spans="2:11" x14ac:dyDescent="0.2">
      <c r="B1202" s="7" t="s">
        <v>0</v>
      </c>
      <c r="C1202" s="8"/>
      <c r="D1202" s="8"/>
      <c r="E1202" s="8"/>
      <c r="F1202" s="8"/>
      <c r="G1202" s="8"/>
      <c r="H1202" s="9"/>
      <c r="I1202" s="10"/>
    </row>
    <row r="1203" spans="2:11" x14ac:dyDescent="0.2">
      <c r="B1203" s="11" t="s">
        <v>1</v>
      </c>
      <c r="C1203" s="12"/>
      <c r="D1203" s="12"/>
      <c r="E1203" s="12"/>
      <c r="F1203" s="12"/>
      <c r="G1203" s="12"/>
      <c r="H1203" s="13"/>
      <c r="I1203" s="10"/>
    </row>
    <row r="1204" spans="2:11" x14ac:dyDescent="0.2">
      <c r="B1204" s="11" t="s">
        <v>2</v>
      </c>
      <c r="C1204" s="12"/>
      <c r="D1204" s="12"/>
      <c r="E1204" s="12"/>
      <c r="F1204" s="12"/>
      <c r="G1204" s="12"/>
      <c r="H1204" s="13"/>
      <c r="I1204" s="10"/>
    </row>
    <row r="1205" spans="2:11" x14ac:dyDescent="0.2">
      <c r="B1205" s="14"/>
      <c r="H1205" s="15"/>
      <c r="I1205" s="10"/>
    </row>
    <row r="1206" spans="2:11" x14ac:dyDescent="0.2">
      <c r="B1206" s="16" t="s">
        <v>3</v>
      </c>
      <c r="C1206" s="17" t="s">
        <v>4</v>
      </c>
      <c r="D1206" s="18"/>
      <c r="E1206" s="18"/>
      <c r="F1206" s="18"/>
      <c r="G1206" s="18"/>
      <c r="H1206" s="19"/>
      <c r="I1206" s="10"/>
    </row>
    <row r="1207" spans="2:11" ht="20.399999999999999" x14ac:dyDescent="0.2">
      <c r="B1207" s="20" t="s">
        <v>5</v>
      </c>
      <c r="C1207" s="21" t="s">
        <v>6</v>
      </c>
      <c r="D1207" s="22"/>
      <c r="E1207" s="22"/>
      <c r="F1207" s="22"/>
      <c r="G1207" s="22"/>
      <c r="H1207" s="23"/>
      <c r="I1207" s="10"/>
    </row>
    <row r="1208" spans="2:11" x14ac:dyDescent="0.2">
      <c r="B1208" s="20" t="s">
        <v>7</v>
      </c>
      <c r="C1208" s="21" t="s">
        <v>8</v>
      </c>
      <c r="D1208" s="22"/>
      <c r="E1208" s="22"/>
      <c r="F1208" s="22"/>
      <c r="G1208" s="22"/>
      <c r="H1208" s="23"/>
      <c r="I1208" s="10"/>
    </row>
    <row r="1209" spans="2:11" x14ac:dyDescent="0.2">
      <c r="B1209" s="20" t="s">
        <v>9</v>
      </c>
      <c r="C1209" s="21" t="s">
        <v>10</v>
      </c>
      <c r="D1209" s="22"/>
      <c r="E1209" s="22"/>
      <c r="F1209" s="22"/>
      <c r="G1209" s="22"/>
      <c r="H1209" s="23"/>
      <c r="I1209" s="10"/>
    </row>
    <row r="1210" spans="2:11" x14ac:dyDescent="0.2">
      <c r="B1210" s="20" t="s">
        <v>11</v>
      </c>
      <c r="C1210" s="24" t="str">
        <f>VLOOKUP(K1201,'[1]FORM XIII'!C$14:P1426,3,0)</f>
        <v>KHILENDRA</v>
      </c>
      <c r="D1210" s="25"/>
      <c r="E1210" s="25"/>
      <c r="F1210" s="25"/>
      <c r="G1210" s="25"/>
      <c r="H1210" s="26"/>
      <c r="I1210" s="10"/>
    </row>
    <row r="1211" spans="2:11" x14ac:dyDescent="0.2">
      <c r="B1211" s="20" t="s">
        <v>12</v>
      </c>
      <c r="C1211" s="24">
        <f>VLOOKUP(K1201,'[1]FORM XIII'!C$14:P1426,2,0)</f>
        <v>72232158</v>
      </c>
      <c r="D1211" s="25"/>
      <c r="E1211" s="25"/>
      <c r="F1211" s="25"/>
      <c r="G1211" s="25"/>
      <c r="H1211" s="26"/>
      <c r="I1211" s="10"/>
    </row>
    <row r="1212" spans="2:11" x14ac:dyDescent="0.2">
      <c r="B1212" s="20" t="s">
        <v>13</v>
      </c>
      <c r="C1212" s="24" t="str">
        <f>VLOOKUP(K1201,'[1]FORM XIII'!C$14:P1426,8,0)</f>
        <v/>
      </c>
      <c r="D1212" s="25"/>
      <c r="E1212" s="25"/>
      <c r="F1212" s="25"/>
      <c r="G1212" s="25"/>
      <c r="H1212" s="26"/>
      <c r="I1212" s="10"/>
    </row>
    <row r="1213" spans="2:11" ht="20.399999999999999" x14ac:dyDescent="0.2">
      <c r="B1213" s="20" t="s">
        <v>14</v>
      </c>
      <c r="C1213" s="44" t="s">
        <v>15</v>
      </c>
      <c r="D1213" s="45"/>
      <c r="E1213" s="45"/>
      <c r="F1213" s="45"/>
      <c r="G1213" s="45"/>
      <c r="H1213" s="46"/>
      <c r="I1213" s="10"/>
    </row>
    <row r="1214" spans="2:11" x14ac:dyDescent="0.2">
      <c r="B1214" s="20" t="s">
        <v>16</v>
      </c>
      <c r="C1214" s="44" t="s">
        <v>17</v>
      </c>
      <c r="D1214" s="45"/>
      <c r="E1214" s="45"/>
      <c r="F1214" s="45"/>
      <c r="G1214" s="45"/>
      <c r="H1214" s="46"/>
      <c r="I1214" s="10"/>
    </row>
    <row r="1215" spans="2:11" x14ac:dyDescent="0.2">
      <c r="B1215" s="20" t="s">
        <v>18</v>
      </c>
      <c r="C1215" s="47" t="s">
        <v>19</v>
      </c>
      <c r="D1215" s="22"/>
      <c r="E1215" s="22"/>
      <c r="F1215" s="22"/>
      <c r="G1215" s="22"/>
      <c r="H1215" s="23"/>
      <c r="I1215" s="10"/>
    </row>
    <row r="1216" spans="2:11" x14ac:dyDescent="0.2">
      <c r="B1216" s="30" t="s">
        <v>20</v>
      </c>
      <c r="C1216" s="31"/>
      <c r="D1216" s="32"/>
      <c r="E1216" s="32"/>
      <c r="F1216" s="32"/>
      <c r="G1216" s="32"/>
      <c r="H1216" s="33"/>
      <c r="I1216" s="10"/>
    </row>
    <row r="1217" spans="2:11" x14ac:dyDescent="0.2">
      <c r="B1217" s="34" t="s">
        <v>21</v>
      </c>
      <c r="C1217" s="35"/>
      <c r="D1217" s="35"/>
      <c r="E1217" s="35"/>
      <c r="F1217" s="35"/>
      <c r="G1217" s="35"/>
      <c r="H1217" s="36"/>
      <c r="I1217" s="10"/>
    </row>
    <row r="1218" spans="2:11" x14ac:dyDescent="0.2">
      <c r="B1218" s="37" t="s">
        <v>22</v>
      </c>
      <c r="C1218" s="38" t="s">
        <v>23</v>
      </c>
      <c r="D1218" s="38"/>
      <c r="E1218" s="38"/>
      <c r="F1218" s="38"/>
      <c r="G1218" s="38"/>
      <c r="H1218" s="39"/>
      <c r="I1218" s="10"/>
    </row>
    <row r="1219" spans="2:11" ht="10.8" thickBot="1" x14ac:dyDescent="0.25">
      <c r="B1219" s="40"/>
      <c r="C1219" s="41"/>
      <c r="D1219" s="41"/>
      <c r="E1219" s="41"/>
      <c r="F1219" s="41"/>
      <c r="G1219" s="41"/>
      <c r="H1219" s="41"/>
      <c r="I1219" s="42"/>
    </row>
    <row r="1220" spans="2:11" ht="10.8" thickTop="1" x14ac:dyDescent="0.2"/>
    <row r="1221" spans="2:11" ht="10.8" thickBot="1" x14ac:dyDescent="0.25"/>
    <row r="1222" spans="2:11" ht="10.8" thickTop="1" x14ac:dyDescent="0.2">
      <c r="B1222" s="4"/>
      <c r="C1222" s="4"/>
      <c r="D1222" s="4"/>
      <c r="E1222" s="4"/>
      <c r="F1222" s="4"/>
      <c r="G1222" s="4"/>
      <c r="H1222" s="4"/>
      <c r="I1222" s="5"/>
      <c r="K1222" s="2">
        <f>+K1201+1</f>
        <v>59</v>
      </c>
    </row>
    <row r="1223" spans="2:11" x14ac:dyDescent="0.2">
      <c r="B1223" s="7" t="s">
        <v>0</v>
      </c>
      <c r="C1223" s="8"/>
      <c r="D1223" s="8"/>
      <c r="E1223" s="8"/>
      <c r="F1223" s="8"/>
      <c r="G1223" s="8"/>
      <c r="H1223" s="9"/>
      <c r="I1223" s="10"/>
    </row>
    <row r="1224" spans="2:11" x14ac:dyDescent="0.2">
      <c r="B1224" s="11" t="s">
        <v>1</v>
      </c>
      <c r="C1224" s="12"/>
      <c r="D1224" s="12"/>
      <c r="E1224" s="12"/>
      <c r="F1224" s="12"/>
      <c r="G1224" s="12"/>
      <c r="H1224" s="13"/>
      <c r="I1224" s="10"/>
    </row>
    <row r="1225" spans="2:11" x14ac:dyDescent="0.2">
      <c r="B1225" s="11" t="s">
        <v>2</v>
      </c>
      <c r="C1225" s="12"/>
      <c r="D1225" s="12"/>
      <c r="E1225" s="12"/>
      <c r="F1225" s="12"/>
      <c r="G1225" s="12"/>
      <c r="H1225" s="13"/>
      <c r="I1225" s="10"/>
    </row>
    <row r="1226" spans="2:11" x14ac:dyDescent="0.2">
      <c r="B1226" s="14"/>
      <c r="H1226" s="15"/>
      <c r="I1226" s="10"/>
    </row>
    <row r="1227" spans="2:11" x14ac:dyDescent="0.2">
      <c r="B1227" s="16" t="s">
        <v>3</v>
      </c>
      <c r="C1227" s="17" t="s">
        <v>4</v>
      </c>
      <c r="D1227" s="18"/>
      <c r="E1227" s="18"/>
      <c r="F1227" s="18"/>
      <c r="G1227" s="18"/>
      <c r="H1227" s="19"/>
      <c r="I1227" s="10"/>
    </row>
    <row r="1228" spans="2:11" ht="20.399999999999999" x14ac:dyDescent="0.2">
      <c r="B1228" s="20" t="s">
        <v>5</v>
      </c>
      <c r="C1228" s="21" t="s">
        <v>6</v>
      </c>
      <c r="D1228" s="22"/>
      <c r="E1228" s="22"/>
      <c r="F1228" s="22"/>
      <c r="G1228" s="22"/>
      <c r="H1228" s="23"/>
      <c r="I1228" s="10"/>
    </row>
    <row r="1229" spans="2:11" x14ac:dyDescent="0.2">
      <c r="B1229" s="20" t="s">
        <v>7</v>
      </c>
      <c r="C1229" s="21" t="s">
        <v>8</v>
      </c>
      <c r="D1229" s="22"/>
      <c r="E1229" s="22"/>
      <c r="F1229" s="22"/>
      <c r="G1229" s="22"/>
      <c r="H1229" s="23"/>
      <c r="I1229" s="10"/>
    </row>
    <row r="1230" spans="2:11" x14ac:dyDescent="0.2">
      <c r="B1230" s="20" t="s">
        <v>9</v>
      </c>
      <c r="C1230" s="21" t="s">
        <v>10</v>
      </c>
      <c r="D1230" s="22"/>
      <c r="E1230" s="22"/>
      <c r="F1230" s="22"/>
      <c r="G1230" s="22"/>
      <c r="H1230" s="23"/>
      <c r="I1230" s="10"/>
    </row>
    <row r="1231" spans="2:11" x14ac:dyDescent="0.2">
      <c r="B1231" s="20" t="s">
        <v>11</v>
      </c>
      <c r="C1231" s="24" t="str">
        <f>VLOOKUP(K1222,'[1]FORM XIII'!C$14:P1447,3,0)</f>
        <v>ROHIT</v>
      </c>
      <c r="D1231" s="25"/>
      <c r="E1231" s="25"/>
      <c r="F1231" s="25"/>
      <c r="G1231" s="25"/>
      <c r="H1231" s="26"/>
      <c r="I1231" s="10"/>
    </row>
    <row r="1232" spans="2:11" x14ac:dyDescent="0.2">
      <c r="B1232" s="20" t="s">
        <v>12</v>
      </c>
      <c r="C1232" s="24">
        <f>VLOOKUP(K1222,'[1]FORM XIII'!C$14:P1447,2,0)</f>
        <v>99124196</v>
      </c>
      <c r="D1232" s="25"/>
      <c r="E1232" s="25"/>
      <c r="F1232" s="25"/>
      <c r="G1232" s="25"/>
      <c r="H1232" s="26"/>
      <c r="I1232" s="10"/>
    </row>
    <row r="1233" spans="2:11" x14ac:dyDescent="0.2">
      <c r="B1233" s="20" t="s">
        <v>13</v>
      </c>
      <c r="C1233" s="24" t="str">
        <f>VLOOKUP(K1222,'[1]FORM XIII'!C$14:P1447,8,0)</f>
        <v>HELPER</v>
      </c>
      <c r="D1233" s="25"/>
      <c r="E1233" s="25"/>
      <c r="F1233" s="25"/>
      <c r="G1233" s="25"/>
      <c r="H1233" s="26"/>
      <c r="I1233" s="10"/>
    </row>
    <row r="1234" spans="2:11" ht="20.399999999999999" x14ac:dyDescent="0.2">
      <c r="B1234" s="20" t="s">
        <v>14</v>
      </c>
      <c r="C1234" s="44" t="s">
        <v>15</v>
      </c>
      <c r="D1234" s="45"/>
      <c r="E1234" s="45"/>
      <c r="F1234" s="45"/>
      <c r="G1234" s="45"/>
      <c r="H1234" s="46"/>
      <c r="I1234" s="10"/>
    </row>
    <row r="1235" spans="2:11" x14ac:dyDescent="0.2">
      <c r="B1235" s="20" t="s">
        <v>16</v>
      </c>
      <c r="C1235" s="44" t="s">
        <v>17</v>
      </c>
      <c r="D1235" s="45"/>
      <c r="E1235" s="45"/>
      <c r="F1235" s="45"/>
      <c r="G1235" s="45"/>
      <c r="H1235" s="46"/>
      <c r="I1235" s="10"/>
    </row>
    <row r="1236" spans="2:11" x14ac:dyDescent="0.2">
      <c r="B1236" s="20" t="s">
        <v>18</v>
      </c>
      <c r="C1236" s="47" t="s">
        <v>19</v>
      </c>
      <c r="D1236" s="22"/>
      <c r="E1236" s="22"/>
      <c r="F1236" s="22"/>
      <c r="G1236" s="22"/>
      <c r="H1236" s="23"/>
      <c r="I1236" s="10"/>
    </row>
    <row r="1237" spans="2:11" x14ac:dyDescent="0.2">
      <c r="B1237" s="30" t="s">
        <v>20</v>
      </c>
      <c r="C1237" s="31"/>
      <c r="D1237" s="32"/>
      <c r="E1237" s="32"/>
      <c r="F1237" s="32"/>
      <c r="G1237" s="32"/>
      <c r="H1237" s="33"/>
      <c r="I1237" s="10"/>
    </row>
    <row r="1238" spans="2:11" x14ac:dyDescent="0.2">
      <c r="B1238" s="34" t="s">
        <v>21</v>
      </c>
      <c r="C1238" s="35"/>
      <c r="D1238" s="35"/>
      <c r="E1238" s="35"/>
      <c r="F1238" s="35"/>
      <c r="G1238" s="35"/>
      <c r="H1238" s="36"/>
      <c r="I1238" s="10"/>
    </row>
    <row r="1239" spans="2:11" x14ac:dyDescent="0.2">
      <c r="B1239" s="37" t="s">
        <v>22</v>
      </c>
      <c r="C1239" s="38" t="s">
        <v>23</v>
      </c>
      <c r="D1239" s="38"/>
      <c r="E1239" s="38"/>
      <c r="F1239" s="38"/>
      <c r="G1239" s="38"/>
      <c r="H1239" s="39"/>
      <c r="I1239" s="10"/>
    </row>
    <row r="1240" spans="2:11" ht="10.8" thickBot="1" x14ac:dyDescent="0.25">
      <c r="B1240" s="40"/>
      <c r="C1240" s="41"/>
      <c r="D1240" s="41"/>
      <c r="E1240" s="41"/>
      <c r="F1240" s="41"/>
      <c r="G1240" s="41"/>
      <c r="H1240" s="41"/>
      <c r="I1240" s="42"/>
    </row>
    <row r="1241" spans="2:11" ht="10.8" thickTop="1" x14ac:dyDescent="0.2"/>
    <row r="1242" spans="2:11" ht="10.8" thickBot="1" x14ac:dyDescent="0.25"/>
    <row r="1243" spans="2:11" ht="10.8" thickTop="1" x14ac:dyDescent="0.2">
      <c r="B1243" s="4"/>
      <c r="C1243" s="4"/>
      <c r="D1243" s="4"/>
      <c r="E1243" s="4"/>
      <c r="F1243" s="4"/>
      <c r="G1243" s="4"/>
      <c r="H1243" s="4"/>
      <c r="I1243" s="5"/>
      <c r="K1243" s="2">
        <f>+K1222+1</f>
        <v>60</v>
      </c>
    </row>
    <row r="1244" spans="2:11" x14ac:dyDescent="0.2">
      <c r="B1244" s="7" t="s">
        <v>0</v>
      </c>
      <c r="C1244" s="8"/>
      <c r="D1244" s="8"/>
      <c r="E1244" s="8"/>
      <c r="F1244" s="8"/>
      <c r="G1244" s="8"/>
      <c r="H1244" s="9"/>
      <c r="I1244" s="10"/>
    </row>
    <row r="1245" spans="2:11" x14ac:dyDescent="0.2">
      <c r="B1245" s="11" t="s">
        <v>1</v>
      </c>
      <c r="C1245" s="12"/>
      <c r="D1245" s="12"/>
      <c r="E1245" s="12"/>
      <c r="F1245" s="12"/>
      <c r="G1245" s="12"/>
      <c r="H1245" s="13"/>
      <c r="I1245" s="10"/>
    </row>
    <row r="1246" spans="2:11" x14ac:dyDescent="0.2">
      <c r="B1246" s="11" t="s">
        <v>2</v>
      </c>
      <c r="C1246" s="12"/>
      <c r="D1246" s="12"/>
      <c r="E1246" s="12"/>
      <c r="F1246" s="12"/>
      <c r="G1246" s="12"/>
      <c r="H1246" s="13"/>
      <c r="I1246" s="10"/>
    </row>
    <row r="1247" spans="2:11" x14ac:dyDescent="0.2">
      <c r="B1247" s="14"/>
      <c r="H1247" s="15"/>
      <c r="I1247" s="10"/>
    </row>
    <row r="1248" spans="2:11" x14ac:dyDescent="0.2">
      <c r="B1248" s="16" t="s">
        <v>3</v>
      </c>
      <c r="C1248" s="17" t="s">
        <v>4</v>
      </c>
      <c r="D1248" s="18"/>
      <c r="E1248" s="18"/>
      <c r="F1248" s="18"/>
      <c r="G1248" s="18"/>
      <c r="H1248" s="19"/>
      <c r="I1248" s="10"/>
    </row>
    <row r="1249" spans="2:11" ht="20.399999999999999" x14ac:dyDescent="0.2">
      <c r="B1249" s="20" t="s">
        <v>5</v>
      </c>
      <c r="C1249" s="21" t="s">
        <v>6</v>
      </c>
      <c r="D1249" s="22"/>
      <c r="E1249" s="22"/>
      <c r="F1249" s="22"/>
      <c r="G1249" s="22"/>
      <c r="H1249" s="23"/>
      <c r="I1249" s="10"/>
    </row>
    <row r="1250" spans="2:11" x14ac:dyDescent="0.2">
      <c r="B1250" s="20" t="s">
        <v>7</v>
      </c>
      <c r="C1250" s="21" t="s">
        <v>8</v>
      </c>
      <c r="D1250" s="22"/>
      <c r="E1250" s="22"/>
      <c r="F1250" s="22"/>
      <c r="G1250" s="22"/>
      <c r="H1250" s="23"/>
      <c r="I1250" s="10"/>
    </row>
    <row r="1251" spans="2:11" x14ac:dyDescent="0.2">
      <c r="B1251" s="20" t="s">
        <v>9</v>
      </c>
      <c r="C1251" s="21" t="s">
        <v>10</v>
      </c>
      <c r="D1251" s="22"/>
      <c r="E1251" s="22"/>
      <c r="F1251" s="22"/>
      <c r="G1251" s="22"/>
      <c r="H1251" s="23"/>
      <c r="I1251" s="10"/>
    </row>
    <row r="1252" spans="2:11" x14ac:dyDescent="0.2">
      <c r="B1252" s="20" t="s">
        <v>11</v>
      </c>
      <c r="C1252" s="24" t="str">
        <f>VLOOKUP(K1243,'[1]FORM XIII'!C$14:P1468,3,0)</f>
        <v>GAURAV</v>
      </c>
      <c r="D1252" s="25"/>
      <c r="E1252" s="25"/>
      <c r="F1252" s="25"/>
      <c r="G1252" s="25"/>
      <c r="H1252" s="26"/>
      <c r="I1252" s="10"/>
    </row>
    <row r="1253" spans="2:11" x14ac:dyDescent="0.2">
      <c r="B1253" s="20" t="s">
        <v>12</v>
      </c>
      <c r="C1253" s="24">
        <f>VLOOKUP(K1243,'[1]FORM XIII'!C$14:P1468,2,0)</f>
        <v>99124170</v>
      </c>
      <c r="D1253" s="25"/>
      <c r="E1253" s="25"/>
      <c r="F1253" s="25"/>
      <c r="G1253" s="25"/>
      <c r="H1253" s="26"/>
      <c r="I1253" s="10"/>
    </row>
    <row r="1254" spans="2:11" x14ac:dyDescent="0.2">
      <c r="B1254" s="20" t="s">
        <v>13</v>
      </c>
      <c r="C1254" s="24" t="str">
        <f>VLOOKUP(K1243,'[1]FORM XIII'!C$14:P1468,8,0)</f>
        <v>HELPER</v>
      </c>
      <c r="D1254" s="25"/>
      <c r="E1254" s="25"/>
      <c r="F1254" s="25"/>
      <c r="G1254" s="25"/>
      <c r="H1254" s="26"/>
      <c r="I1254" s="10"/>
    </row>
    <row r="1255" spans="2:11" ht="20.399999999999999" x14ac:dyDescent="0.2">
      <c r="B1255" s="20" t="s">
        <v>14</v>
      </c>
      <c r="C1255" s="44" t="s">
        <v>15</v>
      </c>
      <c r="D1255" s="45"/>
      <c r="E1255" s="45"/>
      <c r="F1255" s="45"/>
      <c r="G1255" s="45"/>
      <c r="H1255" s="46"/>
      <c r="I1255" s="10"/>
    </row>
    <row r="1256" spans="2:11" x14ac:dyDescent="0.2">
      <c r="B1256" s="20" t="s">
        <v>16</v>
      </c>
      <c r="C1256" s="44" t="s">
        <v>17</v>
      </c>
      <c r="D1256" s="45"/>
      <c r="E1256" s="45"/>
      <c r="F1256" s="45"/>
      <c r="G1256" s="45"/>
      <c r="H1256" s="46"/>
      <c r="I1256" s="10"/>
    </row>
    <row r="1257" spans="2:11" x14ac:dyDescent="0.2">
      <c r="B1257" s="20" t="s">
        <v>18</v>
      </c>
      <c r="C1257" s="47" t="s">
        <v>19</v>
      </c>
      <c r="D1257" s="22"/>
      <c r="E1257" s="22"/>
      <c r="F1257" s="22"/>
      <c r="G1257" s="22"/>
      <c r="H1257" s="23"/>
      <c r="I1257" s="10"/>
    </row>
    <row r="1258" spans="2:11" x14ac:dyDescent="0.2">
      <c r="B1258" s="30" t="s">
        <v>20</v>
      </c>
      <c r="C1258" s="31"/>
      <c r="D1258" s="32"/>
      <c r="E1258" s="32"/>
      <c r="F1258" s="32"/>
      <c r="G1258" s="32"/>
      <c r="H1258" s="33"/>
      <c r="I1258" s="10"/>
    </row>
    <row r="1259" spans="2:11" x14ac:dyDescent="0.2">
      <c r="B1259" s="34" t="s">
        <v>21</v>
      </c>
      <c r="C1259" s="35"/>
      <c r="D1259" s="35"/>
      <c r="E1259" s="35"/>
      <c r="F1259" s="35"/>
      <c r="G1259" s="35"/>
      <c r="H1259" s="36"/>
      <c r="I1259" s="10"/>
    </row>
    <row r="1260" spans="2:11" x14ac:dyDescent="0.2">
      <c r="B1260" s="37" t="s">
        <v>22</v>
      </c>
      <c r="C1260" s="38" t="s">
        <v>23</v>
      </c>
      <c r="D1260" s="38"/>
      <c r="E1260" s="38"/>
      <c r="F1260" s="38"/>
      <c r="G1260" s="38"/>
      <c r="H1260" s="39"/>
      <c r="I1260" s="10"/>
    </row>
    <row r="1261" spans="2:11" ht="10.8" thickBot="1" x14ac:dyDescent="0.25">
      <c r="B1261" s="40"/>
      <c r="C1261" s="41"/>
      <c r="D1261" s="41"/>
      <c r="E1261" s="41"/>
      <c r="F1261" s="41"/>
      <c r="G1261" s="41"/>
      <c r="H1261" s="41"/>
      <c r="I1261" s="42"/>
    </row>
    <row r="1262" spans="2:11" ht="26.1" customHeight="1" thickTop="1" x14ac:dyDescent="0.2"/>
    <row r="1263" spans="2:11" ht="10.8" thickBot="1" x14ac:dyDescent="0.25"/>
    <row r="1264" spans="2:11" ht="10.8" thickTop="1" x14ac:dyDescent="0.2">
      <c r="B1264" s="4"/>
      <c r="C1264" s="4"/>
      <c r="D1264" s="4"/>
      <c r="E1264" s="4"/>
      <c r="F1264" s="4"/>
      <c r="G1264" s="4"/>
      <c r="H1264" s="4"/>
      <c r="I1264" s="5"/>
      <c r="K1264" s="2">
        <f>+K1243+1</f>
        <v>61</v>
      </c>
    </row>
    <row r="1265" spans="2:9" x14ac:dyDescent="0.2">
      <c r="B1265" s="7" t="s">
        <v>0</v>
      </c>
      <c r="C1265" s="8"/>
      <c r="D1265" s="8"/>
      <c r="E1265" s="8"/>
      <c r="F1265" s="8"/>
      <c r="G1265" s="8"/>
      <c r="H1265" s="9"/>
      <c r="I1265" s="10"/>
    </row>
    <row r="1266" spans="2:9" x14ac:dyDescent="0.2">
      <c r="B1266" s="11" t="s">
        <v>1</v>
      </c>
      <c r="C1266" s="12"/>
      <c r="D1266" s="12"/>
      <c r="E1266" s="12"/>
      <c r="F1266" s="12"/>
      <c r="G1266" s="12"/>
      <c r="H1266" s="13"/>
      <c r="I1266" s="10"/>
    </row>
    <row r="1267" spans="2:9" x14ac:dyDescent="0.2">
      <c r="B1267" s="11" t="s">
        <v>2</v>
      </c>
      <c r="C1267" s="12"/>
      <c r="D1267" s="12"/>
      <c r="E1267" s="12"/>
      <c r="F1267" s="12"/>
      <c r="G1267" s="12"/>
      <c r="H1267" s="13"/>
      <c r="I1267" s="10"/>
    </row>
    <row r="1268" spans="2:9" x14ac:dyDescent="0.2">
      <c r="B1268" s="14"/>
      <c r="H1268" s="15"/>
      <c r="I1268" s="10"/>
    </row>
    <row r="1269" spans="2:9" x14ac:dyDescent="0.2">
      <c r="B1269" s="16" t="s">
        <v>3</v>
      </c>
      <c r="C1269" s="17" t="s">
        <v>4</v>
      </c>
      <c r="D1269" s="18"/>
      <c r="E1269" s="18"/>
      <c r="F1269" s="18"/>
      <c r="G1269" s="18"/>
      <c r="H1269" s="19"/>
      <c r="I1269" s="10"/>
    </row>
    <row r="1270" spans="2:9" ht="20.399999999999999" x14ac:dyDescent="0.2">
      <c r="B1270" s="20" t="s">
        <v>5</v>
      </c>
      <c r="C1270" s="21" t="s">
        <v>6</v>
      </c>
      <c r="D1270" s="22"/>
      <c r="E1270" s="22"/>
      <c r="F1270" s="22"/>
      <c r="G1270" s="22"/>
      <c r="H1270" s="23"/>
      <c r="I1270" s="10"/>
    </row>
    <row r="1271" spans="2:9" x14ac:dyDescent="0.2">
      <c r="B1271" s="20" t="s">
        <v>7</v>
      </c>
      <c r="C1271" s="21" t="s">
        <v>8</v>
      </c>
      <c r="D1271" s="22"/>
      <c r="E1271" s="22"/>
      <c r="F1271" s="22"/>
      <c r="G1271" s="22"/>
      <c r="H1271" s="23"/>
      <c r="I1271" s="10"/>
    </row>
    <row r="1272" spans="2:9" x14ac:dyDescent="0.2">
      <c r="B1272" s="20" t="s">
        <v>9</v>
      </c>
      <c r="C1272" s="21" t="s">
        <v>10</v>
      </c>
      <c r="D1272" s="22"/>
      <c r="E1272" s="22"/>
      <c r="F1272" s="22"/>
      <c r="G1272" s="22"/>
      <c r="H1272" s="23"/>
      <c r="I1272" s="10"/>
    </row>
    <row r="1273" spans="2:9" x14ac:dyDescent="0.2">
      <c r="B1273" s="20" t="s">
        <v>11</v>
      </c>
      <c r="C1273" s="24" t="str">
        <f>VLOOKUP(K1264,'[1]FORM XIII'!C$14:P1489,3,0)</f>
        <v>BHAWAN SINGH</v>
      </c>
      <c r="D1273" s="25"/>
      <c r="E1273" s="25"/>
      <c r="F1273" s="25"/>
      <c r="G1273" s="25"/>
      <c r="H1273" s="26"/>
      <c r="I1273" s="10"/>
    </row>
    <row r="1274" spans="2:9" x14ac:dyDescent="0.2">
      <c r="B1274" s="20" t="s">
        <v>12</v>
      </c>
      <c r="C1274" s="24">
        <f>VLOOKUP(K1264,'[1]FORM XIII'!C$14:P1489,2,0)</f>
        <v>72232184</v>
      </c>
      <c r="D1274" s="25"/>
      <c r="E1274" s="25"/>
      <c r="F1274" s="25"/>
      <c r="G1274" s="25"/>
      <c r="H1274" s="26"/>
      <c r="I1274" s="10"/>
    </row>
    <row r="1275" spans="2:9" x14ac:dyDescent="0.2">
      <c r="B1275" s="20" t="s">
        <v>13</v>
      </c>
      <c r="C1275" s="24" t="str">
        <f>VLOOKUP(K1264,'[1]FORM XIII'!C$14:P1489,8,0)</f>
        <v>HELPER</v>
      </c>
      <c r="D1275" s="25"/>
      <c r="E1275" s="25"/>
      <c r="F1275" s="25"/>
      <c r="G1275" s="25"/>
      <c r="H1275" s="26"/>
      <c r="I1275" s="10"/>
    </row>
    <row r="1276" spans="2:9" ht="20.399999999999999" x14ac:dyDescent="0.2">
      <c r="B1276" s="20" t="s">
        <v>14</v>
      </c>
      <c r="C1276" s="44" t="s">
        <v>15</v>
      </c>
      <c r="D1276" s="45"/>
      <c r="E1276" s="45"/>
      <c r="F1276" s="45"/>
      <c r="G1276" s="45"/>
      <c r="H1276" s="46"/>
      <c r="I1276" s="10"/>
    </row>
    <row r="1277" spans="2:9" x14ac:dyDescent="0.2">
      <c r="B1277" s="20" t="s">
        <v>16</v>
      </c>
      <c r="C1277" s="44" t="s">
        <v>17</v>
      </c>
      <c r="D1277" s="45"/>
      <c r="E1277" s="45"/>
      <c r="F1277" s="45"/>
      <c r="G1277" s="45"/>
      <c r="H1277" s="46"/>
      <c r="I1277" s="10"/>
    </row>
    <row r="1278" spans="2:9" x14ac:dyDescent="0.2">
      <c r="B1278" s="20" t="s">
        <v>18</v>
      </c>
      <c r="C1278" s="47" t="s">
        <v>19</v>
      </c>
      <c r="D1278" s="22"/>
      <c r="E1278" s="22"/>
      <c r="F1278" s="22"/>
      <c r="G1278" s="22"/>
      <c r="H1278" s="23"/>
      <c r="I1278" s="10"/>
    </row>
    <row r="1279" spans="2:9" x14ac:dyDescent="0.2">
      <c r="B1279" s="30" t="s">
        <v>20</v>
      </c>
      <c r="C1279" s="31"/>
      <c r="D1279" s="32"/>
      <c r="E1279" s="32"/>
      <c r="F1279" s="32"/>
      <c r="G1279" s="32"/>
      <c r="H1279" s="33"/>
      <c r="I1279" s="10"/>
    </row>
    <row r="1280" spans="2:9" x14ac:dyDescent="0.2">
      <c r="B1280" s="34" t="s">
        <v>21</v>
      </c>
      <c r="C1280" s="35"/>
      <c r="D1280" s="35"/>
      <c r="E1280" s="35"/>
      <c r="F1280" s="35"/>
      <c r="G1280" s="35"/>
      <c r="H1280" s="36"/>
      <c r="I1280" s="10"/>
    </row>
    <row r="1281" spans="2:11" x14ac:dyDescent="0.2">
      <c r="B1281" s="37" t="s">
        <v>22</v>
      </c>
      <c r="C1281" s="38" t="s">
        <v>23</v>
      </c>
      <c r="D1281" s="38"/>
      <c r="E1281" s="38"/>
      <c r="F1281" s="38"/>
      <c r="G1281" s="38"/>
      <c r="H1281" s="39"/>
      <c r="I1281" s="10"/>
    </row>
    <row r="1282" spans="2:11" ht="10.8" thickBot="1" x14ac:dyDescent="0.25">
      <c r="B1282" s="40"/>
      <c r="C1282" s="41"/>
      <c r="D1282" s="41"/>
      <c r="E1282" s="41"/>
      <c r="F1282" s="41"/>
      <c r="G1282" s="41"/>
      <c r="H1282" s="41"/>
      <c r="I1282" s="42"/>
    </row>
    <row r="1283" spans="2:11" ht="10.8" thickTop="1" x14ac:dyDescent="0.2"/>
    <row r="1284" spans="2:11" ht="10.8" thickBot="1" x14ac:dyDescent="0.25"/>
    <row r="1285" spans="2:11" ht="10.8" thickTop="1" x14ac:dyDescent="0.2">
      <c r="B1285" s="4"/>
      <c r="C1285" s="4"/>
      <c r="D1285" s="4"/>
      <c r="E1285" s="4"/>
      <c r="F1285" s="4"/>
      <c r="G1285" s="4"/>
      <c r="H1285" s="4"/>
      <c r="I1285" s="5"/>
      <c r="K1285" s="2">
        <f>+K1264+1</f>
        <v>62</v>
      </c>
    </row>
    <row r="1286" spans="2:11" x14ac:dyDescent="0.2">
      <c r="B1286" s="7" t="s">
        <v>0</v>
      </c>
      <c r="C1286" s="8"/>
      <c r="D1286" s="8"/>
      <c r="E1286" s="8"/>
      <c r="F1286" s="8"/>
      <c r="G1286" s="8"/>
      <c r="H1286" s="9"/>
      <c r="I1286" s="10"/>
    </row>
    <row r="1287" spans="2:11" x14ac:dyDescent="0.2">
      <c r="B1287" s="11" t="s">
        <v>1</v>
      </c>
      <c r="C1287" s="12"/>
      <c r="D1287" s="12"/>
      <c r="E1287" s="12"/>
      <c r="F1287" s="12"/>
      <c r="G1287" s="12"/>
      <c r="H1287" s="13"/>
      <c r="I1287" s="10"/>
    </row>
    <row r="1288" spans="2:11" x14ac:dyDescent="0.2">
      <c r="B1288" s="11" t="s">
        <v>2</v>
      </c>
      <c r="C1288" s="12"/>
      <c r="D1288" s="12"/>
      <c r="E1288" s="12"/>
      <c r="F1288" s="12"/>
      <c r="G1288" s="12"/>
      <c r="H1288" s="13"/>
      <c r="I1288" s="10"/>
    </row>
    <row r="1289" spans="2:11" x14ac:dyDescent="0.2">
      <c r="B1289" s="14"/>
      <c r="H1289" s="15"/>
      <c r="I1289" s="10"/>
    </row>
    <row r="1290" spans="2:11" x14ac:dyDescent="0.2">
      <c r="B1290" s="16" t="s">
        <v>3</v>
      </c>
      <c r="C1290" s="17" t="s">
        <v>4</v>
      </c>
      <c r="D1290" s="18"/>
      <c r="E1290" s="18"/>
      <c r="F1290" s="18"/>
      <c r="G1290" s="18"/>
      <c r="H1290" s="19"/>
      <c r="I1290" s="10"/>
    </row>
    <row r="1291" spans="2:11" ht="20.399999999999999" x14ac:dyDescent="0.2">
      <c r="B1291" s="20" t="s">
        <v>5</v>
      </c>
      <c r="C1291" s="21" t="s">
        <v>6</v>
      </c>
      <c r="D1291" s="22"/>
      <c r="E1291" s="22"/>
      <c r="F1291" s="22"/>
      <c r="G1291" s="22"/>
      <c r="H1291" s="23"/>
      <c r="I1291" s="10"/>
    </row>
    <row r="1292" spans="2:11" x14ac:dyDescent="0.2">
      <c r="B1292" s="20" t="s">
        <v>7</v>
      </c>
      <c r="C1292" s="21" t="s">
        <v>8</v>
      </c>
      <c r="D1292" s="22"/>
      <c r="E1292" s="22"/>
      <c r="F1292" s="22"/>
      <c r="G1292" s="22"/>
      <c r="H1292" s="23"/>
      <c r="I1292" s="10"/>
    </row>
    <row r="1293" spans="2:11" x14ac:dyDescent="0.2">
      <c r="B1293" s="20" t="s">
        <v>9</v>
      </c>
      <c r="C1293" s="21" t="s">
        <v>10</v>
      </c>
      <c r="D1293" s="22"/>
      <c r="E1293" s="22"/>
      <c r="F1293" s="22"/>
      <c r="G1293" s="22"/>
      <c r="H1293" s="23"/>
      <c r="I1293" s="10"/>
    </row>
    <row r="1294" spans="2:11" x14ac:dyDescent="0.2">
      <c r="B1294" s="20" t="s">
        <v>11</v>
      </c>
      <c r="C1294" s="24" t="str">
        <f>VLOOKUP(K1285,'[1]FORM XIII'!C$14:P1510,3,0)</f>
        <v>AJAY</v>
      </c>
      <c r="D1294" s="25"/>
      <c r="E1294" s="25"/>
      <c r="F1294" s="25"/>
      <c r="G1294" s="25"/>
      <c r="H1294" s="26"/>
      <c r="I1294" s="10"/>
    </row>
    <row r="1295" spans="2:11" x14ac:dyDescent="0.2">
      <c r="B1295" s="20" t="s">
        <v>12</v>
      </c>
      <c r="C1295" s="24">
        <f>VLOOKUP(K1285,'[1]FORM XIII'!C$14:P1510,2,0)</f>
        <v>99124712</v>
      </c>
      <c r="D1295" s="25"/>
      <c r="E1295" s="25"/>
      <c r="F1295" s="25"/>
      <c r="G1295" s="25"/>
      <c r="H1295" s="26"/>
      <c r="I1295" s="10"/>
    </row>
    <row r="1296" spans="2:11" x14ac:dyDescent="0.2">
      <c r="B1296" s="20" t="s">
        <v>13</v>
      </c>
      <c r="C1296" s="24" t="str">
        <f>VLOOKUP(K1285,'[1]FORM XIII'!C$14:P1510,8,0)</f>
        <v>HELPER</v>
      </c>
      <c r="D1296" s="25"/>
      <c r="E1296" s="25"/>
      <c r="F1296" s="25"/>
      <c r="G1296" s="25"/>
      <c r="H1296" s="26"/>
      <c r="I1296" s="10"/>
    </row>
    <row r="1297" spans="2:11" ht="20.399999999999999" x14ac:dyDescent="0.2">
      <c r="B1297" s="20" t="s">
        <v>14</v>
      </c>
      <c r="C1297" s="44" t="s">
        <v>15</v>
      </c>
      <c r="D1297" s="45"/>
      <c r="E1297" s="45"/>
      <c r="F1297" s="45"/>
      <c r="G1297" s="45"/>
      <c r="H1297" s="46"/>
      <c r="I1297" s="10"/>
    </row>
    <row r="1298" spans="2:11" x14ac:dyDescent="0.2">
      <c r="B1298" s="20" t="s">
        <v>16</v>
      </c>
      <c r="C1298" s="44" t="s">
        <v>17</v>
      </c>
      <c r="D1298" s="45"/>
      <c r="E1298" s="45"/>
      <c r="F1298" s="45"/>
      <c r="G1298" s="45"/>
      <c r="H1298" s="46"/>
      <c r="I1298" s="10"/>
    </row>
    <row r="1299" spans="2:11" x14ac:dyDescent="0.2">
      <c r="B1299" s="20" t="s">
        <v>18</v>
      </c>
      <c r="C1299" s="47" t="s">
        <v>19</v>
      </c>
      <c r="D1299" s="22"/>
      <c r="E1299" s="22"/>
      <c r="F1299" s="22"/>
      <c r="G1299" s="22"/>
      <c r="H1299" s="23"/>
      <c r="I1299" s="10"/>
    </row>
    <row r="1300" spans="2:11" x14ac:dyDescent="0.2">
      <c r="B1300" s="30" t="s">
        <v>20</v>
      </c>
      <c r="C1300" s="31"/>
      <c r="D1300" s="32"/>
      <c r="E1300" s="32"/>
      <c r="F1300" s="32"/>
      <c r="G1300" s="32"/>
      <c r="H1300" s="33"/>
      <c r="I1300" s="10"/>
    </row>
    <row r="1301" spans="2:11" x14ac:dyDescent="0.2">
      <c r="B1301" s="34" t="s">
        <v>21</v>
      </c>
      <c r="C1301" s="35"/>
      <c r="D1301" s="35"/>
      <c r="E1301" s="35"/>
      <c r="F1301" s="35"/>
      <c r="G1301" s="35"/>
      <c r="H1301" s="36"/>
      <c r="I1301" s="10"/>
    </row>
    <row r="1302" spans="2:11" x14ac:dyDescent="0.2">
      <c r="B1302" s="37" t="s">
        <v>22</v>
      </c>
      <c r="C1302" s="38" t="s">
        <v>23</v>
      </c>
      <c r="D1302" s="38"/>
      <c r="E1302" s="38"/>
      <c r="F1302" s="38"/>
      <c r="G1302" s="38"/>
      <c r="H1302" s="39"/>
      <c r="I1302" s="10"/>
    </row>
    <row r="1303" spans="2:11" ht="10.8" thickBot="1" x14ac:dyDescent="0.25">
      <c r="B1303" s="40"/>
      <c r="C1303" s="41"/>
      <c r="D1303" s="41"/>
      <c r="E1303" s="41"/>
      <c r="F1303" s="41"/>
      <c r="G1303" s="41"/>
      <c r="H1303" s="41"/>
      <c r="I1303" s="42"/>
    </row>
    <row r="1304" spans="2:11" ht="10.8" thickTop="1" x14ac:dyDescent="0.2"/>
    <row r="1305" spans="2:11" ht="10.8" thickBot="1" x14ac:dyDescent="0.25"/>
    <row r="1306" spans="2:11" ht="10.8" thickTop="1" x14ac:dyDescent="0.2">
      <c r="B1306" s="4"/>
      <c r="C1306" s="4"/>
      <c r="D1306" s="4"/>
      <c r="E1306" s="4"/>
      <c r="F1306" s="4"/>
      <c r="G1306" s="4"/>
      <c r="H1306" s="4"/>
      <c r="I1306" s="5"/>
      <c r="K1306" s="2">
        <f>+K1285+1</f>
        <v>63</v>
      </c>
    </row>
    <row r="1307" spans="2:11" x14ac:dyDescent="0.2">
      <c r="B1307" s="7" t="s">
        <v>0</v>
      </c>
      <c r="C1307" s="8"/>
      <c r="D1307" s="8"/>
      <c r="E1307" s="8"/>
      <c r="F1307" s="8"/>
      <c r="G1307" s="8"/>
      <c r="H1307" s="9"/>
      <c r="I1307" s="10"/>
    </row>
    <row r="1308" spans="2:11" x14ac:dyDescent="0.2">
      <c r="B1308" s="11" t="s">
        <v>1</v>
      </c>
      <c r="C1308" s="12"/>
      <c r="D1308" s="12"/>
      <c r="E1308" s="12"/>
      <c r="F1308" s="12"/>
      <c r="G1308" s="12"/>
      <c r="H1308" s="13"/>
      <c r="I1308" s="10"/>
    </row>
    <row r="1309" spans="2:11" x14ac:dyDescent="0.2">
      <c r="B1309" s="11" t="s">
        <v>2</v>
      </c>
      <c r="C1309" s="12"/>
      <c r="D1309" s="12"/>
      <c r="E1309" s="12"/>
      <c r="F1309" s="12"/>
      <c r="G1309" s="12"/>
      <c r="H1309" s="13"/>
      <c r="I1309" s="10"/>
    </row>
    <row r="1310" spans="2:11" x14ac:dyDescent="0.2">
      <c r="B1310" s="14"/>
      <c r="H1310" s="15"/>
      <c r="I1310" s="10"/>
    </row>
    <row r="1311" spans="2:11" x14ac:dyDescent="0.2">
      <c r="B1311" s="16" t="s">
        <v>3</v>
      </c>
      <c r="C1311" s="17" t="s">
        <v>4</v>
      </c>
      <c r="D1311" s="18"/>
      <c r="E1311" s="18"/>
      <c r="F1311" s="18"/>
      <c r="G1311" s="18"/>
      <c r="H1311" s="19"/>
      <c r="I1311" s="10"/>
    </row>
    <row r="1312" spans="2:11" ht="20.399999999999999" x14ac:dyDescent="0.2">
      <c r="B1312" s="20" t="s">
        <v>5</v>
      </c>
      <c r="C1312" s="21" t="s">
        <v>6</v>
      </c>
      <c r="D1312" s="22"/>
      <c r="E1312" s="22"/>
      <c r="F1312" s="22"/>
      <c r="G1312" s="22"/>
      <c r="H1312" s="23"/>
      <c r="I1312" s="10"/>
    </row>
    <row r="1313" spans="2:11" x14ac:dyDescent="0.2">
      <c r="B1313" s="20" t="s">
        <v>7</v>
      </c>
      <c r="C1313" s="21" t="s">
        <v>8</v>
      </c>
      <c r="D1313" s="22"/>
      <c r="E1313" s="22"/>
      <c r="F1313" s="22"/>
      <c r="G1313" s="22"/>
      <c r="H1313" s="23"/>
      <c r="I1313" s="10"/>
    </row>
    <row r="1314" spans="2:11" x14ac:dyDescent="0.2">
      <c r="B1314" s="20" t="s">
        <v>9</v>
      </c>
      <c r="C1314" s="21" t="s">
        <v>10</v>
      </c>
      <c r="D1314" s="22"/>
      <c r="E1314" s="22"/>
      <c r="F1314" s="22"/>
      <c r="G1314" s="22"/>
      <c r="H1314" s="23"/>
      <c r="I1314" s="10"/>
    </row>
    <row r="1315" spans="2:11" x14ac:dyDescent="0.2">
      <c r="B1315" s="20" t="s">
        <v>11</v>
      </c>
      <c r="C1315" s="24" t="str">
        <f>VLOOKUP(K1306,'[1]FORM XIII'!C$14:P1531,3,0)</f>
        <v>NAUSHAD</v>
      </c>
      <c r="D1315" s="25"/>
      <c r="E1315" s="25"/>
      <c r="F1315" s="25"/>
      <c r="G1315" s="25"/>
      <c r="H1315" s="26"/>
      <c r="I1315" s="10"/>
    </row>
    <row r="1316" spans="2:11" x14ac:dyDescent="0.2">
      <c r="B1316" s="20" t="s">
        <v>12</v>
      </c>
      <c r="C1316" s="24">
        <f>VLOOKUP(K1306,'[1]FORM XIII'!C$14:P1531,2,0)</f>
        <v>99134845</v>
      </c>
      <c r="D1316" s="25"/>
      <c r="E1316" s="25"/>
      <c r="F1316" s="25"/>
      <c r="G1316" s="25"/>
      <c r="H1316" s="26"/>
      <c r="I1316" s="10"/>
    </row>
    <row r="1317" spans="2:11" x14ac:dyDescent="0.2">
      <c r="B1317" s="20" t="s">
        <v>13</v>
      </c>
      <c r="C1317" s="24" t="str">
        <f>VLOOKUP(K1306,'[1]FORM XIII'!C$14:P1531,8,0)</f>
        <v>HELPER</v>
      </c>
      <c r="D1317" s="25"/>
      <c r="E1317" s="25"/>
      <c r="F1317" s="25"/>
      <c r="G1317" s="25"/>
      <c r="H1317" s="26"/>
      <c r="I1317" s="10"/>
    </row>
    <row r="1318" spans="2:11" ht="20.399999999999999" x14ac:dyDescent="0.2">
      <c r="B1318" s="20" t="s">
        <v>14</v>
      </c>
      <c r="C1318" s="44" t="s">
        <v>15</v>
      </c>
      <c r="D1318" s="45"/>
      <c r="E1318" s="45"/>
      <c r="F1318" s="45"/>
      <c r="G1318" s="45"/>
      <c r="H1318" s="46"/>
      <c r="I1318" s="10"/>
    </row>
    <row r="1319" spans="2:11" x14ac:dyDescent="0.2">
      <c r="B1319" s="20" t="s">
        <v>16</v>
      </c>
      <c r="C1319" s="44" t="s">
        <v>17</v>
      </c>
      <c r="D1319" s="45"/>
      <c r="E1319" s="45"/>
      <c r="F1319" s="45"/>
      <c r="G1319" s="45"/>
      <c r="H1319" s="46"/>
      <c r="I1319" s="10"/>
    </row>
    <row r="1320" spans="2:11" x14ac:dyDescent="0.2">
      <c r="B1320" s="20" t="s">
        <v>18</v>
      </c>
      <c r="C1320" s="47" t="s">
        <v>19</v>
      </c>
      <c r="D1320" s="22"/>
      <c r="E1320" s="22"/>
      <c r="F1320" s="22"/>
      <c r="G1320" s="22"/>
      <c r="H1320" s="23"/>
      <c r="I1320" s="10"/>
    </row>
    <row r="1321" spans="2:11" x14ac:dyDescent="0.2">
      <c r="B1321" s="30" t="s">
        <v>20</v>
      </c>
      <c r="C1321" s="31"/>
      <c r="D1321" s="32"/>
      <c r="E1321" s="32"/>
      <c r="F1321" s="32"/>
      <c r="G1321" s="32"/>
      <c r="H1321" s="33"/>
      <c r="I1321" s="10"/>
    </row>
    <row r="1322" spans="2:11" x14ac:dyDescent="0.2">
      <c r="B1322" s="34" t="s">
        <v>21</v>
      </c>
      <c r="C1322" s="35"/>
      <c r="D1322" s="35"/>
      <c r="E1322" s="35"/>
      <c r="F1322" s="35"/>
      <c r="G1322" s="35"/>
      <c r="H1322" s="36"/>
      <c r="I1322" s="10"/>
    </row>
    <row r="1323" spans="2:11" x14ac:dyDescent="0.2">
      <c r="B1323" s="37" t="s">
        <v>22</v>
      </c>
      <c r="C1323" s="38" t="s">
        <v>23</v>
      </c>
      <c r="D1323" s="38"/>
      <c r="E1323" s="38"/>
      <c r="F1323" s="38"/>
      <c r="G1323" s="38"/>
      <c r="H1323" s="39"/>
      <c r="I1323" s="10"/>
    </row>
    <row r="1324" spans="2:11" ht="10.8" thickBot="1" x14ac:dyDescent="0.25">
      <c r="B1324" s="40"/>
      <c r="C1324" s="41"/>
      <c r="D1324" s="41"/>
      <c r="E1324" s="41"/>
      <c r="F1324" s="41"/>
      <c r="G1324" s="41"/>
      <c r="H1324" s="41"/>
      <c r="I1324" s="42"/>
    </row>
    <row r="1325" spans="2:11" ht="10.8" thickTop="1" x14ac:dyDescent="0.2"/>
    <row r="1326" spans="2:11" ht="10.8" thickBot="1" x14ac:dyDescent="0.25"/>
    <row r="1327" spans="2:11" ht="10.8" thickTop="1" x14ac:dyDescent="0.2">
      <c r="B1327" s="4"/>
      <c r="C1327" s="4"/>
      <c r="D1327" s="4"/>
      <c r="E1327" s="4"/>
      <c r="F1327" s="4"/>
      <c r="G1327" s="4"/>
      <c r="H1327" s="4"/>
      <c r="I1327" s="5"/>
      <c r="K1327" s="2">
        <f>+K1306+1</f>
        <v>64</v>
      </c>
    </row>
    <row r="1328" spans="2:11" x14ac:dyDescent="0.2">
      <c r="B1328" s="7" t="s">
        <v>0</v>
      </c>
      <c r="C1328" s="8"/>
      <c r="D1328" s="8"/>
      <c r="E1328" s="8"/>
      <c r="F1328" s="8"/>
      <c r="G1328" s="8"/>
      <c r="H1328" s="9"/>
      <c r="I1328" s="10"/>
    </row>
    <row r="1329" spans="2:9" x14ac:dyDescent="0.2">
      <c r="B1329" s="11" t="s">
        <v>1</v>
      </c>
      <c r="C1329" s="12"/>
      <c r="D1329" s="12"/>
      <c r="E1329" s="12"/>
      <c r="F1329" s="12"/>
      <c r="G1329" s="12"/>
      <c r="H1329" s="13"/>
      <c r="I1329" s="10"/>
    </row>
    <row r="1330" spans="2:9" x14ac:dyDescent="0.2">
      <c r="B1330" s="11" t="s">
        <v>2</v>
      </c>
      <c r="C1330" s="12"/>
      <c r="D1330" s="12"/>
      <c r="E1330" s="12"/>
      <c r="F1330" s="12"/>
      <c r="G1330" s="12"/>
      <c r="H1330" s="13"/>
      <c r="I1330" s="10"/>
    </row>
    <row r="1331" spans="2:9" x14ac:dyDescent="0.2">
      <c r="B1331" s="14"/>
      <c r="H1331" s="15"/>
      <c r="I1331" s="10"/>
    </row>
    <row r="1332" spans="2:9" x14ac:dyDescent="0.2">
      <c r="B1332" s="16" t="s">
        <v>3</v>
      </c>
      <c r="C1332" s="17" t="s">
        <v>4</v>
      </c>
      <c r="D1332" s="18"/>
      <c r="E1332" s="18"/>
      <c r="F1332" s="18"/>
      <c r="G1332" s="18"/>
      <c r="H1332" s="19"/>
      <c r="I1332" s="10"/>
    </row>
    <row r="1333" spans="2:9" ht="20.399999999999999" x14ac:dyDescent="0.2">
      <c r="B1333" s="20" t="s">
        <v>5</v>
      </c>
      <c r="C1333" s="21" t="s">
        <v>6</v>
      </c>
      <c r="D1333" s="22"/>
      <c r="E1333" s="22"/>
      <c r="F1333" s="22"/>
      <c r="G1333" s="22"/>
      <c r="H1333" s="23"/>
      <c r="I1333" s="10"/>
    </row>
    <row r="1334" spans="2:9" x14ac:dyDescent="0.2">
      <c r="B1334" s="20" t="s">
        <v>7</v>
      </c>
      <c r="C1334" s="21" t="s">
        <v>8</v>
      </c>
      <c r="D1334" s="22"/>
      <c r="E1334" s="22"/>
      <c r="F1334" s="22"/>
      <c r="G1334" s="22"/>
      <c r="H1334" s="23"/>
      <c r="I1334" s="10"/>
    </row>
    <row r="1335" spans="2:9" x14ac:dyDescent="0.2">
      <c r="B1335" s="20" t="s">
        <v>9</v>
      </c>
      <c r="C1335" s="21" t="s">
        <v>10</v>
      </c>
      <c r="D1335" s="22"/>
      <c r="E1335" s="22"/>
      <c r="F1335" s="22"/>
      <c r="G1335" s="22"/>
      <c r="H1335" s="23"/>
      <c r="I1335" s="10"/>
    </row>
    <row r="1336" spans="2:9" x14ac:dyDescent="0.2">
      <c r="B1336" s="20" t="s">
        <v>11</v>
      </c>
      <c r="C1336" s="24" t="str">
        <f>VLOOKUP(K1327,'[1]FORM XIII'!C$14:P1552,3,0)</f>
        <v>AJAY KUMAR</v>
      </c>
      <c r="D1336" s="25"/>
      <c r="E1336" s="25"/>
      <c r="F1336" s="25"/>
      <c r="G1336" s="25"/>
      <c r="H1336" s="26"/>
      <c r="I1336" s="10"/>
    </row>
    <row r="1337" spans="2:9" x14ac:dyDescent="0.2">
      <c r="B1337" s="20" t="s">
        <v>12</v>
      </c>
      <c r="C1337" s="24">
        <f>VLOOKUP(K1327,'[1]FORM XIII'!C$14:P1552,2,0)</f>
        <v>99134921</v>
      </c>
      <c r="D1337" s="25"/>
      <c r="E1337" s="25"/>
      <c r="F1337" s="25"/>
      <c r="G1337" s="25"/>
      <c r="H1337" s="26"/>
      <c r="I1337" s="10"/>
    </row>
    <row r="1338" spans="2:9" x14ac:dyDescent="0.2">
      <c r="B1338" s="20" t="s">
        <v>13</v>
      </c>
      <c r="C1338" s="24" t="str">
        <f>VLOOKUP(K1327,'[1]FORM XIII'!C$14:P1552,8,0)</f>
        <v>HELPER</v>
      </c>
      <c r="D1338" s="25"/>
      <c r="E1338" s="25"/>
      <c r="F1338" s="25"/>
      <c r="G1338" s="25"/>
      <c r="H1338" s="26"/>
      <c r="I1338" s="10"/>
    </row>
    <row r="1339" spans="2:9" ht="20.399999999999999" x14ac:dyDescent="0.2">
      <c r="B1339" s="20" t="s">
        <v>14</v>
      </c>
      <c r="C1339" s="44" t="s">
        <v>15</v>
      </c>
      <c r="D1339" s="45"/>
      <c r="E1339" s="45"/>
      <c r="F1339" s="45"/>
      <c r="G1339" s="45"/>
      <c r="H1339" s="46"/>
      <c r="I1339" s="10"/>
    </row>
    <row r="1340" spans="2:9" x14ac:dyDescent="0.2">
      <c r="B1340" s="20" t="s">
        <v>16</v>
      </c>
      <c r="C1340" s="44" t="s">
        <v>17</v>
      </c>
      <c r="D1340" s="45"/>
      <c r="E1340" s="45"/>
      <c r="F1340" s="45"/>
      <c r="G1340" s="45"/>
      <c r="H1340" s="46"/>
      <c r="I1340" s="10"/>
    </row>
    <row r="1341" spans="2:9" x14ac:dyDescent="0.2">
      <c r="B1341" s="20" t="s">
        <v>18</v>
      </c>
      <c r="C1341" s="47" t="s">
        <v>19</v>
      </c>
      <c r="D1341" s="22"/>
      <c r="E1341" s="22"/>
      <c r="F1341" s="22"/>
      <c r="G1341" s="22"/>
      <c r="H1341" s="23"/>
      <c r="I1341" s="10"/>
    </row>
    <row r="1342" spans="2:9" x14ac:dyDescent="0.2">
      <c r="B1342" s="30" t="s">
        <v>20</v>
      </c>
      <c r="C1342" s="31"/>
      <c r="D1342" s="32"/>
      <c r="E1342" s="32"/>
      <c r="F1342" s="32"/>
      <c r="G1342" s="32"/>
      <c r="H1342" s="33"/>
      <c r="I1342" s="10"/>
    </row>
    <row r="1343" spans="2:9" x14ac:dyDescent="0.2">
      <c r="B1343" s="34" t="s">
        <v>21</v>
      </c>
      <c r="C1343" s="35"/>
      <c r="D1343" s="35"/>
      <c r="E1343" s="35"/>
      <c r="F1343" s="35"/>
      <c r="G1343" s="35"/>
      <c r="H1343" s="36"/>
      <c r="I1343" s="10"/>
    </row>
    <row r="1344" spans="2:9" x14ac:dyDescent="0.2">
      <c r="B1344" s="37" t="s">
        <v>22</v>
      </c>
      <c r="C1344" s="38" t="s">
        <v>23</v>
      </c>
      <c r="D1344" s="38"/>
      <c r="E1344" s="38"/>
      <c r="F1344" s="38"/>
      <c r="G1344" s="38"/>
      <c r="H1344" s="39"/>
      <c r="I1344" s="10"/>
    </row>
    <row r="1345" spans="2:11" ht="10.8" thickBot="1" x14ac:dyDescent="0.25">
      <c r="B1345" s="40"/>
      <c r="C1345" s="41"/>
      <c r="D1345" s="41"/>
      <c r="E1345" s="41"/>
      <c r="F1345" s="41"/>
      <c r="G1345" s="41"/>
      <c r="H1345" s="41"/>
      <c r="I1345" s="42"/>
    </row>
    <row r="1346" spans="2:11" ht="10.8" thickTop="1" x14ac:dyDescent="0.2"/>
    <row r="1347" spans="2:11" ht="10.8" thickBot="1" x14ac:dyDescent="0.25"/>
    <row r="1348" spans="2:11" ht="10.8" thickTop="1" x14ac:dyDescent="0.2">
      <c r="B1348" s="4"/>
      <c r="C1348" s="4"/>
      <c r="D1348" s="4"/>
      <c r="E1348" s="4"/>
      <c r="F1348" s="4"/>
      <c r="G1348" s="4"/>
      <c r="H1348" s="4"/>
      <c r="I1348" s="5"/>
      <c r="J1348" s="6"/>
      <c r="K1348" s="2">
        <f>+K1327+1</f>
        <v>65</v>
      </c>
    </row>
    <row r="1349" spans="2:11" x14ac:dyDescent="0.2">
      <c r="B1349" s="7" t="s">
        <v>0</v>
      </c>
      <c r="C1349" s="8"/>
      <c r="D1349" s="8"/>
      <c r="E1349" s="8"/>
      <c r="F1349" s="8"/>
      <c r="G1349" s="8"/>
      <c r="H1349" s="9"/>
      <c r="I1349" s="10"/>
      <c r="J1349" s="6"/>
    </row>
    <row r="1350" spans="2:11" x14ac:dyDescent="0.2">
      <c r="B1350" s="11" t="s">
        <v>1</v>
      </c>
      <c r="C1350" s="12"/>
      <c r="D1350" s="12"/>
      <c r="E1350" s="12"/>
      <c r="F1350" s="12"/>
      <c r="G1350" s="12"/>
      <c r="H1350" s="13"/>
      <c r="I1350" s="10"/>
      <c r="J1350" s="6"/>
    </row>
    <row r="1351" spans="2:11" x14ac:dyDescent="0.2">
      <c r="B1351" s="11" t="s">
        <v>2</v>
      </c>
      <c r="C1351" s="12"/>
      <c r="D1351" s="12"/>
      <c r="E1351" s="12"/>
      <c r="F1351" s="12"/>
      <c r="G1351" s="12"/>
      <c r="H1351" s="13"/>
      <c r="I1351" s="10"/>
      <c r="J1351" s="6"/>
    </row>
    <row r="1352" spans="2:11" x14ac:dyDescent="0.2">
      <c r="B1352" s="14"/>
      <c r="H1352" s="15"/>
      <c r="I1352" s="10"/>
      <c r="J1352" s="6"/>
    </row>
    <row r="1353" spans="2:11" x14ac:dyDescent="0.2">
      <c r="B1353" s="16" t="s">
        <v>3</v>
      </c>
      <c r="C1353" s="17" t="s">
        <v>4</v>
      </c>
      <c r="D1353" s="18"/>
      <c r="E1353" s="18"/>
      <c r="F1353" s="18"/>
      <c r="G1353" s="18"/>
      <c r="H1353" s="19"/>
      <c r="I1353" s="10"/>
      <c r="J1353" s="6"/>
    </row>
    <row r="1354" spans="2:11" ht="20.399999999999999" x14ac:dyDescent="0.2">
      <c r="B1354" s="20" t="s">
        <v>5</v>
      </c>
      <c r="C1354" s="21" t="s">
        <v>6</v>
      </c>
      <c r="D1354" s="22"/>
      <c r="E1354" s="22"/>
      <c r="F1354" s="22"/>
      <c r="G1354" s="22"/>
      <c r="H1354" s="23"/>
      <c r="I1354" s="10"/>
      <c r="J1354" s="6"/>
    </row>
    <row r="1355" spans="2:11" x14ac:dyDescent="0.2">
      <c r="B1355" s="20" t="s">
        <v>7</v>
      </c>
      <c r="C1355" s="21" t="s">
        <v>8</v>
      </c>
      <c r="D1355" s="22"/>
      <c r="E1355" s="22"/>
      <c r="F1355" s="22"/>
      <c r="G1355" s="22"/>
      <c r="H1355" s="23"/>
      <c r="I1355" s="10"/>
      <c r="J1355" s="6"/>
    </row>
    <row r="1356" spans="2:11" x14ac:dyDescent="0.2">
      <c r="B1356" s="20" t="s">
        <v>9</v>
      </c>
      <c r="C1356" s="21" t="s">
        <v>10</v>
      </c>
      <c r="D1356" s="22"/>
      <c r="E1356" s="22"/>
      <c r="F1356" s="22"/>
      <c r="G1356" s="22"/>
      <c r="H1356" s="23"/>
      <c r="I1356" s="10"/>
      <c r="J1356" s="6"/>
    </row>
    <row r="1357" spans="2:11" x14ac:dyDescent="0.2">
      <c r="B1357" s="20" t="s">
        <v>11</v>
      </c>
      <c r="C1357" s="24" t="str">
        <f>VLOOKUP(K1348,'[1]FORM XIII'!C$14:P1573,3,0)</f>
        <v>RAKIB</v>
      </c>
      <c r="D1357" s="25"/>
      <c r="E1357" s="25"/>
      <c r="F1357" s="25"/>
      <c r="G1357" s="25"/>
      <c r="H1357" s="26"/>
      <c r="I1357" s="10"/>
      <c r="J1357" s="6"/>
    </row>
    <row r="1358" spans="2:11" x14ac:dyDescent="0.2">
      <c r="B1358" s="20" t="s">
        <v>12</v>
      </c>
      <c r="C1358" s="24">
        <f>VLOOKUP(K1348,'[1]FORM XIII'!C$14:P1573,2,0)</f>
        <v>99135691</v>
      </c>
      <c r="D1358" s="25"/>
      <c r="E1358" s="25"/>
      <c r="F1358" s="25"/>
      <c r="G1358" s="25"/>
      <c r="H1358" s="26"/>
      <c r="I1358" s="10"/>
      <c r="J1358" s="6"/>
    </row>
    <row r="1359" spans="2:11" x14ac:dyDescent="0.2">
      <c r="B1359" s="20" t="s">
        <v>13</v>
      </c>
      <c r="C1359" s="24" t="str">
        <f>VLOOKUP(K1348,'[1]FORM XIII'!C$14:P1573,8,0)</f>
        <v>HELPER</v>
      </c>
      <c r="D1359" s="25"/>
      <c r="E1359" s="25"/>
      <c r="F1359" s="25"/>
      <c r="G1359" s="25"/>
      <c r="H1359" s="26"/>
      <c r="I1359" s="10"/>
      <c r="J1359" s="6"/>
    </row>
    <row r="1360" spans="2:11" ht="20.399999999999999" x14ac:dyDescent="0.2">
      <c r="B1360" s="20" t="s">
        <v>14</v>
      </c>
      <c r="C1360" s="44" t="s">
        <v>15</v>
      </c>
      <c r="D1360" s="45"/>
      <c r="E1360" s="45"/>
      <c r="F1360" s="45"/>
      <c r="G1360" s="45"/>
      <c r="H1360" s="46"/>
      <c r="I1360" s="10"/>
      <c r="J1360" s="6"/>
    </row>
    <row r="1361" spans="2:11" x14ac:dyDescent="0.2">
      <c r="B1361" s="20" t="s">
        <v>16</v>
      </c>
      <c r="C1361" s="44" t="s">
        <v>17</v>
      </c>
      <c r="D1361" s="45"/>
      <c r="E1361" s="45"/>
      <c r="F1361" s="45"/>
      <c r="G1361" s="45"/>
      <c r="H1361" s="46"/>
      <c r="I1361" s="10"/>
      <c r="J1361" s="6"/>
    </row>
    <row r="1362" spans="2:11" x14ac:dyDescent="0.2">
      <c r="B1362" s="20" t="s">
        <v>18</v>
      </c>
      <c r="C1362" s="47" t="s">
        <v>19</v>
      </c>
      <c r="D1362" s="22"/>
      <c r="E1362" s="22"/>
      <c r="F1362" s="22"/>
      <c r="G1362" s="22"/>
      <c r="H1362" s="23"/>
      <c r="I1362" s="10"/>
      <c r="J1362" s="6"/>
    </row>
    <row r="1363" spans="2:11" x14ac:dyDescent="0.2">
      <c r="B1363" s="30" t="s">
        <v>20</v>
      </c>
      <c r="C1363" s="31"/>
      <c r="D1363" s="32"/>
      <c r="E1363" s="32"/>
      <c r="F1363" s="32"/>
      <c r="G1363" s="32"/>
      <c r="H1363" s="33"/>
      <c r="I1363" s="10"/>
      <c r="J1363" s="6"/>
    </row>
    <row r="1364" spans="2:11" x14ac:dyDescent="0.2">
      <c r="B1364" s="34" t="s">
        <v>21</v>
      </c>
      <c r="C1364" s="35"/>
      <c r="D1364" s="35"/>
      <c r="E1364" s="35"/>
      <c r="F1364" s="35"/>
      <c r="G1364" s="35"/>
      <c r="H1364" s="36"/>
      <c r="I1364" s="10"/>
      <c r="J1364" s="6"/>
    </row>
    <row r="1365" spans="2:11" x14ac:dyDescent="0.2">
      <c r="B1365" s="37" t="s">
        <v>22</v>
      </c>
      <c r="C1365" s="38" t="s">
        <v>23</v>
      </c>
      <c r="D1365" s="38"/>
      <c r="E1365" s="38"/>
      <c r="F1365" s="38"/>
      <c r="G1365" s="38"/>
      <c r="H1365" s="39"/>
      <c r="I1365" s="10"/>
      <c r="J1365" s="6"/>
    </row>
    <row r="1366" spans="2:11" ht="10.8" thickBot="1" x14ac:dyDescent="0.25">
      <c r="B1366" s="40"/>
      <c r="C1366" s="41"/>
      <c r="D1366" s="41"/>
      <c r="E1366" s="41"/>
      <c r="F1366" s="41"/>
      <c r="G1366" s="41"/>
      <c r="H1366" s="41"/>
      <c r="I1366" s="42"/>
      <c r="J1366" s="6"/>
    </row>
    <row r="1367" spans="2:11" ht="10.8" thickTop="1" x14ac:dyDescent="0.2">
      <c r="J1367" s="6"/>
    </row>
    <row r="1368" spans="2:11" ht="10.8" thickBot="1" x14ac:dyDescent="0.25"/>
    <row r="1369" spans="2:11" ht="10.8" thickTop="1" x14ac:dyDescent="0.2">
      <c r="B1369" s="4"/>
      <c r="C1369" s="4"/>
      <c r="D1369" s="4"/>
      <c r="E1369" s="4"/>
      <c r="F1369" s="4"/>
      <c r="G1369" s="4"/>
      <c r="H1369" s="4"/>
      <c r="I1369" s="5"/>
      <c r="K1369" s="2">
        <f>+K1348+1</f>
        <v>66</v>
      </c>
    </row>
    <row r="1370" spans="2:11" x14ac:dyDescent="0.2">
      <c r="B1370" s="7" t="s">
        <v>0</v>
      </c>
      <c r="C1370" s="8"/>
      <c r="D1370" s="8"/>
      <c r="E1370" s="8"/>
      <c r="F1370" s="8"/>
      <c r="G1370" s="8"/>
      <c r="H1370" s="9"/>
      <c r="I1370" s="10"/>
    </row>
    <row r="1371" spans="2:11" x14ac:dyDescent="0.2">
      <c r="B1371" s="11" t="s">
        <v>1</v>
      </c>
      <c r="C1371" s="12"/>
      <c r="D1371" s="12"/>
      <c r="E1371" s="12"/>
      <c r="F1371" s="12"/>
      <c r="G1371" s="12"/>
      <c r="H1371" s="13"/>
      <c r="I1371" s="10"/>
    </row>
    <row r="1372" spans="2:11" x14ac:dyDescent="0.2">
      <c r="B1372" s="11" t="s">
        <v>2</v>
      </c>
      <c r="C1372" s="12"/>
      <c r="D1372" s="12"/>
      <c r="E1372" s="12"/>
      <c r="F1372" s="12"/>
      <c r="G1372" s="12"/>
      <c r="H1372" s="13"/>
      <c r="I1372" s="10"/>
    </row>
    <row r="1373" spans="2:11" x14ac:dyDescent="0.2">
      <c r="B1373" s="14"/>
      <c r="H1373" s="15"/>
      <c r="I1373" s="10"/>
    </row>
    <row r="1374" spans="2:11" x14ac:dyDescent="0.2">
      <c r="B1374" s="16" t="s">
        <v>3</v>
      </c>
      <c r="C1374" s="17" t="s">
        <v>4</v>
      </c>
      <c r="D1374" s="18"/>
      <c r="E1374" s="18"/>
      <c r="F1374" s="18"/>
      <c r="G1374" s="18"/>
      <c r="H1374" s="19"/>
      <c r="I1374" s="10"/>
    </row>
    <row r="1375" spans="2:11" ht="20.399999999999999" x14ac:dyDescent="0.2">
      <c r="B1375" s="20" t="s">
        <v>5</v>
      </c>
      <c r="C1375" s="21" t="s">
        <v>6</v>
      </c>
      <c r="D1375" s="22"/>
      <c r="E1375" s="22"/>
      <c r="F1375" s="22"/>
      <c r="G1375" s="22"/>
      <c r="H1375" s="23"/>
      <c r="I1375" s="10"/>
    </row>
    <row r="1376" spans="2:11" x14ac:dyDescent="0.2">
      <c r="B1376" s="20" t="s">
        <v>7</v>
      </c>
      <c r="C1376" s="21" t="s">
        <v>8</v>
      </c>
      <c r="D1376" s="22"/>
      <c r="E1376" s="22"/>
      <c r="F1376" s="22"/>
      <c r="G1376" s="22"/>
      <c r="H1376" s="23"/>
      <c r="I1376" s="10"/>
    </row>
    <row r="1377" spans="2:11" x14ac:dyDescent="0.2">
      <c r="B1377" s="20" t="s">
        <v>9</v>
      </c>
      <c r="C1377" s="21" t="s">
        <v>10</v>
      </c>
      <c r="D1377" s="22"/>
      <c r="E1377" s="22"/>
      <c r="F1377" s="22"/>
      <c r="G1377" s="22"/>
      <c r="H1377" s="23"/>
      <c r="I1377" s="10"/>
    </row>
    <row r="1378" spans="2:11" x14ac:dyDescent="0.2">
      <c r="B1378" s="20" t="s">
        <v>11</v>
      </c>
      <c r="C1378" s="24" t="str">
        <f>VLOOKUP(K1369,'[1]FORM XIII'!C$14:P1594,3,0)</f>
        <v>VISHAL KUMAR</v>
      </c>
      <c r="D1378" s="25"/>
      <c r="E1378" s="25"/>
      <c r="F1378" s="25"/>
      <c r="G1378" s="25"/>
      <c r="H1378" s="26"/>
      <c r="I1378" s="10"/>
    </row>
    <row r="1379" spans="2:11" x14ac:dyDescent="0.2">
      <c r="B1379" s="20" t="s">
        <v>12</v>
      </c>
      <c r="C1379" s="24">
        <f>VLOOKUP(K1369,'[1]FORM XIII'!C$14:P1594,2,0)</f>
        <v>99136279</v>
      </c>
      <c r="D1379" s="25"/>
      <c r="E1379" s="25"/>
      <c r="F1379" s="25"/>
      <c r="G1379" s="25"/>
      <c r="H1379" s="26"/>
      <c r="I1379" s="10"/>
    </row>
    <row r="1380" spans="2:11" x14ac:dyDescent="0.2">
      <c r="B1380" s="20" t="s">
        <v>13</v>
      </c>
      <c r="C1380" s="24" t="str">
        <f>VLOOKUP(K1369,'[1]FORM XIII'!C$14:P1594,8,0)</f>
        <v>HELPER</v>
      </c>
      <c r="D1380" s="25"/>
      <c r="E1380" s="25"/>
      <c r="F1380" s="25"/>
      <c r="G1380" s="25"/>
      <c r="H1380" s="26"/>
      <c r="I1380" s="10"/>
    </row>
    <row r="1381" spans="2:11" ht="20.399999999999999" x14ac:dyDescent="0.2">
      <c r="B1381" s="20" t="s">
        <v>14</v>
      </c>
      <c r="C1381" s="44" t="s">
        <v>15</v>
      </c>
      <c r="D1381" s="45"/>
      <c r="E1381" s="45"/>
      <c r="F1381" s="45"/>
      <c r="G1381" s="45"/>
      <c r="H1381" s="46"/>
      <c r="I1381" s="10"/>
    </row>
    <row r="1382" spans="2:11" x14ac:dyDescent="0.2">
      <c r="B1382" s="20" t="s">
        <v>16</v>
      </c>
      <c r="C1382" s="44" t="s">
        <v>17</v>
      </c>
      <c r="D1382" s="45"/>
      <c r="E1382" s="45"/>
      <c r="F1382" s="45"/>
      <c r="G1382" s="45"/>
      <c r="H1382" s="46"/>
      <c r="I1382" s="10"/>
    </row>
    <row r="1383" spans="2:11" x14ac:dyDescent="0.2">
      <c r="B1383" s="20" t="s">
        <v>18</v>
      </c>
      <c r="C1383" s="47" t="s">
        <v>19</v>
      </c>
      <c r="D1383" s="22"/>
      <c r="E1383" s="22"/>
      <c r="F1383" s="22"/>
      <c r="G1383" s="22"/>
      <c r="H1383" s="23"/>
      <c r="I1383" s="10"/>
    </row>
    <row r="1384" spans="2:11" x14ac:dyDescent="0.2">
      <c r="B1384" s="30" t="s">
        <v>20</v>
      </c>
      <c r="C1384" s="31"/>
      <c r="D1384" s="32"/>
      <c r="E1384" s="32"/>
      <c r="F1384" s="32"/>
      <c r="G1384" s="32"/>
      <c r="H1384" s="33"/>
      <c r="I1384" s="10"/>
    </row>
    <row r="1385" spans="2:11" x14ac:dyDescent="0.2">
      <c r="B1385" s="34" t="s">
        <v>21</v>
      </c>
      <c r="C1385" s="35"/>
      <c r="D1385" s="35"/>
      <c r="E1385" s="35"/>
      <c r="F1385" s="35"/>
      <c r="G1385" s="35"/>
      <c r="H1385" s="36"/>
      <c r="I1385" s="10"/>
    </row>
    <row r="1386" spans="2:11" x14ac:dyDescent="0.2">
      <c r="B1386" s="37" t="s">
        <v>22</v>
      </c>
      <c r="C1386" s="38" t="s">
        <v>23</v>
      </c>
      <c r="D1386" s="38"/>
      <c r="E1386" s="38"/>
      <c r="F1386" s="38"/>
      <c r="G1386" s="38"/>
      <c r="H1386" s="39"/>
      <c r="I1386" s="10"/>
    </row>
    <row r="1387" spans="2:11" ht="10.8" thickBot="1" x14ac:dyDescent="0.25">
      <c r="B1387" s="40"/>
      <c r="C1387" s="41"/>
      <c r="D1387" s="41"/>
      <c r="E1387" s="41"/>
      <c r="F1387" s="41"/>
      <c r="G1387" s="41"/>
      <c r="H1387" s="41"/>
      <c r="I1387" s="42"/>
    </row>
    <row r="1388" spans="2:11" ht="10.8" thickTop="1" x14ac:dyDescent="0.2"/>
    <row r="1389" spans="2:11" ht="10.8" thickBot="1" x14ac:dyDescent="0.25"/>
    <row r="1390" spans="2:11" ht="10.8" thickTop="1" x14ac:dyDescent="0.2">
      <c r="B1390" s="4"/>
      <c r="C1390" s="4"/>
      <c r="D1390" s="4"/>
      <c r="E1390" s="4"/>
      <c r="F1390" s="4"/>
      <c r="G1390" s="4"/>
      <c r="H1390" s="4"/>
      <c r="I1390" s="5"/>
      <c r="K1390" s="2">
        <f>+K1369+1</f>
        <v>67</v>
      </c>
    </row>
    <row r="1391" spans="2:11" x14ac:dyDescent="0.2">
      <c r="B1391" s="7" t="s">
        <v>0</v>
      </c>
      <c r="C1391" s="8"/>
      <c r="D1391" s="8"/>
      <c r="E1391" s="8"/>
      <c r="F1391" s="8"/>
      <c r="G1391" s="8"/>
      <c r="H1391" s="9"/>
      <c r="I1391" s="10"/>
    </row>
    <row r="1392" spans="2:11" x14ac:dyDescent="0.2">
      <c r="B1392" s="11" t="s">
        <v>1</v>
      </c>
      <c r="C1392" s="12"/>
      <c r="D1392" s="12"/>
      <c r="E1392" s="12"/>
      <c r="F1392" s="12"/>
      <c r="G1392" s="12"/>
      <c r="H1392" s="13"/>
      <c r="I1392" s="10"/>
    </row>
    <row r="1393" spans="2:9" x14ac:dyDescent="0.2">
      <c r="B1393" s="11" t="s">
        <v>2</v>
      </c>
      <c r="C1393" s="12"/>
      <c r="D1393" s="12"/>
      <c r="E1393" s="12"/>
      <c r="F1393" s="12"/>
      <c r="G1393" s="12"/>
      <c r="H1393" s="13"/>
      <c r="I1393" s="10"/>
    </row>
    <row r="1394" spans="2:9" x14ac:dyDescent="0.2">
      <c r="B1394" s="14"/>
      <c r="H1394" s="15"/>
      <c r="I1394" s="10"/>
    </row>
    <row r="1395" spans="2:9" x14ac:dyDescent="0.2">
      <c r="B1395" s="16" t="s">
        <v>3</v>
      </c>
      <c r="C1395" s="17" t="s">
        <v>4</v>
      </c>
      <c r="D1395" s="18"/>
      <c r="E1395" s="18"/>
      <c r="F1395" s="18"/>
      <c r="G1395" s="18"/>
      <c r="H1395" s="19"/>
      <c r="I1395" s="10"/>
    </row>
    <row r="1396" spans="2:9" ht="20.399999999999999" x14ac:dyDescent="0.2">
      <c r="B1396" s="20" t="s">
        <v>5</v>
      </c>
      <c r="C1396" s="21" t="s">
        <v>6</v>
      </c>
      <c r="D1396" s="22"/>
      <c r="E1396" s="22"/>
      <c r="F1396" s="22"/>
      <c r="G1396" s="22"/>
      <c r="H1396" s="23"/>
      <c r="I1396" s="10"/>
    </row>
    <row r="1397" spans="2:9" x14ac:dyDescent="0.2">
      <c r="B1397" s="20" t="s">
        <v>7</v>
      </c>
      <c r="C1397" s="21" t="s">
        <v>8</v>
      </c>
      <c r="D1397" s="22"/>
      <c r="E1397" s="22"/>
      <c r="F1397" s="22"/>
      <c r="G1397" s="22"/>
      <c r="H1397" s="23"/>
      <c r="I1397" s="10"/>
    </row>
    <row r="1398" spans="2:9" x14ac:dyDescent="0.2">
      <c r="B1398" s="20" t="s">
        <v>9</v>
      </c>
      <c r="C1398" s="21" t="s">
        <v>10</v>
      </c>
      <c r="D1398" s="22"/>
      <c r="E1398" s="22"/>
      <c r="F1398" s="22"/>
      <c r="G1398" s="22"/>
      <c r="H1398" s="23"/>
      <c r="I1398" s="10"/>
    </row>
    <row r="1399" spans="2:9" x14ac:dyDescent="0.2">
      <c r="B1399" s="20" t="s">
        <v>11</v>
      </c>
      <c r="C1399" s="24" t="str">
        <f>VLOOKUP(K1390,'[1]FORM XIII'!C$14:P1615,3,0)</f>
        <v>ABHISHEK</v>
      </c>
      <c r="D1399" s="25"/>
      <c r="E1399" s="25"/>
      <c r="F1399" s="25"/>
      <c r="G1399" s="25"/>
      <c r="H1399" s="26"/>
      <c r="I1399" s="10"/>
    </row>
    <row r="1400" spans="2:9" x14ac:dyDescent="0.2">
      <c r="B1400" s="20" t="s">
        <v>12</v>
      </c>
      <c r="C1400" s="24">
        <f>VLOOKUP(K1390,'[1]FORM XIII'!C$14:P1615,2,0)</f>
        <v>99136379</v>
      </c>
      <c r="D1400" s="25"/>
      <c r="E1400" s="25"/>
      <c r="F1400" s="25"/>
      <c r="G1400" s="25"/>
      <c r="H1400" s="26"/>
      <c r="I1400" s="10"/>
    </row>
    <row r="1401" spans="2:9" x14ac:dyDescent="0.2">
      <c r="B1401" s="20" t="s">
        <v>13</v>
      </c>
      <c r="C1401" s="24" t="str">
        <f>VLOOKUP(K1390,'[1]FORM XIII'!C$14:P1615,8,0)</f>
        <v>HELPER</v>
      </c>
      <c r="D1401" s="25"/>
      <c r="E1401" s="25"/>
      <c r="F1401" s="25"/>
      <c r="G1401" s="25"/>
      <c r="H1401" s="26"/>
      <c r="I1401" s="10"/>
    </row>
    <row r="1402" spans="2:9" ht="20.399999999999999" x14ac:dyDescent="0.2">
      <c r="B1402" s="20" t="s">
        <v>14</v>
      </c>
      <c r="C1402" s="44" t="s">
        <v>15</v>
      </c>
      <c r="D1402" s="45"/>
      <c r="E1402" s="45"/>
      <c r="F1402" s="45"/>
      <c r="G1402" s="45"/>
      <c r="H1402" s="46"/>
      <c r="I1402" s="10"/>
    </row>
    <row r="1403" spans="2:9" x14ac:dyDescent="0.2">
      <c r="B1403" s="20" t="s">
        <v>16</v>
      </c>
      <c r="C1403" s="44" t="s">
        <v>17</v>
      </c>
      <c r="D1403" s="45"/>
      <c r="E1403" s="45"/>
      <c r="F1403" s="45"/>
      <c r="G1403" s="45"/>
      <c r="H1403" s="46"/>
      <c r="I1403" s="10"/>
    </row>
    <row r="1404" spans="2:9" x14ac:dyDescent="0.2">
      <c r="B1404" s="20" t="s">
        <v>18</v>
      </c>
      <c r="C1404" s="47" t="s">
        <v>19</v>
      </c>
      <c r="D1404" s="22"/>
      <c r="E1404" s="22"/>
      <c r="F1404" s="22"/>
      <c r="G1404" s="22"/>
      <c r="H1404" s="23"/>
      <c r="I1404" s="10"/>
    </row>
    <row r="1405" spans="2:9" x14ac:dyDescent="0.2">
      <c r="B1405" s="30" t="s">
        <v>20</v>
      </c>
      <c r="C1405" s="31"/>
      <c r="D1405" s="32"/>
      <c r="E1405" s="32"/>
      <c r="F1405" s="32"/>
      <c r="G1405" s="32"/>
      <c r="H1405" s="33"/>
      <c r="I1405" s="10"/>
    </row>
    <row r="1406" spans="2:9" x14ac:dyDescent="0.2">
      <c r="B1406" s="34" t="s">
        <v>21</v>
      </c>
      <c r="C1406" s="35"/>
      <c r="D1406" s="35"/>
      <c r="E1406" s="35"/>
      <c r="F1406" s="35"/>
      <c r="G1406" s="35"/>
      <c r="H1406" s="36"/>
      <c r="I1406" s="10"/>
    </row>
    <row r="1407" spans="2:9" x14ac:dyDescent="0.2">
      <c r="B1407" s="37" t="s">
        <v>22</v>
      </c>
      <c r="C1407" s="38" t="s">
        <v>23</v>
      </c>
      <c r="D1407" s="38"/>
      <c r="E1407" s="38"/>
      <c r="F1407" s="38"/>
      <c r="G1407" s="38"/>
      <c r="H1407" s="39"/>
      <c r="I1407" s="10"/>
    </row>
    <row r="1408" spans="2:9" ht="10.8" thickBot="1" x14ac:dyDescent="0.25">
      <c r="B1408" s="40"/>
      <c r="C1408" s="41"/>
      <c r="D1408" s="41"/>
      <c r="E1408" s="41"/>
      <c r="F1408" s="41"/>
      <c r="G1408" s="41"/>
      <c r="H1408" s="41"/>
      <c r="I1408" s="42"/>
    </row>
    <row r="1409" spans="2:11" ht="10.8" thickTop="1" x14ac:dyDescent="0.2"/>
    <row r="1410" spans="2:11" ht="10.8" thickBot="1" x14ac:dyDescent="0.25"/>
    <row r="1411" spans="2:11" ht="10.8" thickTop="1" x14ac:dyDescent="0.2">
      <c r="B1411" s="4"/>
      <c r="C1411" s="4"/>
      <c r="D1411" s="4"/>
      <c r="E1411" s="4"/>
      <c r="F1411" s="4"/>
      <c r="G1411" s="4"/>
      <c r="H1411" s="4"/>
      <c r="I1411" s="5"/>
      <c r="K1411" s="2">
        <f>+K1390+1</f>
        <v>68</v>
      </c>
    </row>
    <row r="1412" spans="2:11" x14ac:dyDescent="0.2">
      <c r="B1412" s="7" t="s">
        <v>0</v>
      </c>
      <c r="C1412" s="8"/>
      <c r="D1412" s="8"/>
      <c r="E1412" s="8"/>
      <c r="F1412" s="8"/>
      <c r="G1412" s="8"/>
      <c r="H1412" s="9"/>
      <c r="I1412" s="10"/>
    </row>
    <row r="1413" spans="2:11" x14ac:dyDescent="0.2">
      <c r="B1413" s="11" t="s">
        <v>1</v>
      </c>
      <c r="C1413" s="12"/>
      <c r="D1413" s="12"/>
      <c r="E1413" s="12"/>
      <c r="F1413" s="12"/>
      <c r="G1413" s="12"/>
      <c r="H1413" s="13"/>
      <c r="I1413" s="10"/>
    </row>
    <row r="1414" spans="2:11" x14ac:dyDescent="0.2">
      <c r="B1414" s="11" t="s">
        <v>2</v>
      </c>
      <c r="C1414" s="12"/>
      <c r="D1414" s="12"/>
      <c r="E1414" s="12"/>
      <c r="F1414" s="12"/>
      <c r="G1414" s="12"/>
      <c r="H1414" s="13"/>
      <c r="I1414" s="10"/>
    </row>
    <row r="1415" spans="2:11" x14ac:dyDescent="0.2">
      <c r="B1415" s="14"/>
      <c r="H1415" s="15"/>
      <c r="I1415" s="10"/>
    </row>
    <row r="1416" spans="2:11" x14ac:dyDescent="0.2">
      <c r="B1416" s="16" t="s">
        <v>3</v>
      </c>
      <c r="C1416" s="17" t="s">
        <v>4</v>
      </c>
      <c r="D1416" s="18"/>
      <c r="E1416" s="18"/>
      <c r="F1416" s="18"/>
      <c r="G1416" s="18"/>
      <c r="H1416" s="19"/>
      <c r="I1416" s="10"/>
    </row>
    <row r="1417" spans="2:11" ht="20.399999999999999" x14ac:dyDescent="0.2">
      <c r="B1417" s="20" t="s">
        <v>5</v>
      </c>
      <c r="C1417" s="21" t="s">
        <v>6</v>
      </c>
      <c r="D1417" s="22"/>
      <c r="E1417" s="22"/>
      <c r="F1417" s="22"/>
      <c r="G1417" s="22"/>
      <c r="H1417" s="23"/>
      <c r="I1417" s="10"/>
    </row>
    <row r="1418" spans="2:11" x14ac:dyDescent="0.2">
      <c r="B1418" s="20" t="s">
        <v>7</v>
      </c>
      <c r="C1418" s="21" t="s">
        <v>8</v>
      </c>
      <c r="D1418" s="22"/>
      <c r="E1418" s="22"/>
      <c r="F1418" s="22"/>
      <c r="G1418" s="22"/>
      <c r="H1418" s="23"/>
      <c r="I1418" s="10"/>
    </row>
    <row r="1419" spans="2:11" x14ac:dyDescent="0.2">
      <c r="B1419" s="20" t="s">
        <v>9</v>
      </c>
      <c r="C1419" s="21" t="s">
        <v>10</v>
      </c>
      <c r="D1419" s="22"/>
      <c r="E1419" s="22"/>
      <c r="F1419" s="22"/>
      <c r="G1419" s="22"/>
      <c r="H1419" s="23"/>
      <c r="I1419" s="10"/>
    </row>
    <row r="1420" spans="2:11" x14ac:dyDescent="0.2">
      <c r="B1420" s="20" t="s">
        <v>11</v>
      </c>
      <c r="C1420" s="24" t="str">
        <f>VLOOKUP(K1411,'[1]FORM XIII'!C$14:P1636,3,0)</f>
        <v>RAVI</v>
      </c>
      <c r="D1420" s="25"/>
      <c r="E1420" s="25"/>
      <c r="F1420" s="25"/>
      <c r="G1420" s="25"/>
      <c r="H1420" s="26"/>
      <c r="I1420" s="10"/>
    </row>
    <row r="1421" spans="2:11" x14ac:dyDescent="0.2">
      <c r="B1421" s="20" t="s">
        <v>12</v>
      </c>
      <c r="C1421" s="24">
        <f>VLOOKUP(K1411,'[1]FORM XIII'!C$14:P1636,2,0)</f>
        <v>99135240</v>
      </c>
      <c r="D1421" s="25"/>
      <c r="E1421" s="25"/>
      <c r="F1421" s="25"/>
      <c r="G1421" s="25"/>
      <c r="H1421" s="26"/>
      <c r="I1421" s="10"/>
    </row>
    <row r="1422" spans="2:11" x14ac:dyDescent="0.2">
      <c r="B1422" s="20" t="s">
        <v>13</v>
      </c>
      <c r="C1422" s="24" t="str">
        <f>VLOOKUP(K1411,'[1]FORM XIII'!C$14:P1636,8,0)</f>
        <v>HELPER</v>
      </c>
      <c r="D1422" s="25"/>
      <c r="E1422" s="25"/>
      <c r="F1422" s="25"/>
      <c r="G1422" s="25"/>
      <c r="H1422" s="26"/>
      <c r="I1422" s="10"/>
    </row>
    <row r="1423" spans="2:11" ht="20.399999999999999" x14ac:dyDescent="0.2">
      <c r="B1423" s="20" t="s">
        <v>14</v>
      </c>
      <c r="C1423" s="44" t="s">
        <v>15</v>
      </c>
      <c r="D1423" s="45"/>
      <c r="E1423" s="45"/>
      <c r="F1423" s="45"/>
      <c r="G1423" s="45"/>
      <c r="H1423" s="46"/>
      <c r="I1423" s="10"/>
    </row>
    <row r="1424" spans="2:11" x14ac:dyDescent="0.2">
      <c r="B1424" s="20" t="s">
        <v>16</v>
      </c>
      <c r="C1424" s="44" t="s">
        <v>17</v>
      </c>
      <c r="D1424" s="45"/>
      <c r="E1424" s="45"/>
      <c r="F1424" s="45"/>
      <c r="G1424" s="45"/>
      <c r="H1424" s="46"/>
      <c r="I1424" s="10"/>
    </row>
    <row r="1425" spans="2:11" x14ac:dyDescent="0.2">
      <c r="B1425" s="20" t="s">
        <v>18</v>
      </c>
      <c r="C1425" s="47" t="s">
        <v>19</v>
      </c>
      <c r="D1425" s="22"/>
      <c r="E1425" s="22"/>
      <c r="F1425" s="22"/>
      <c r="G1425" s="22"/>
      <c r="H1425" s="23"/>
      <c r="I1425" s="10"/>
    </row>
    <row r="1426" spans="2:11" x14ac:dyDescent="0.2">
      <c r="B1426" s="30" t="s">
        <v>20</v>
      </c>
      <c r="C1426" s="31"/>
      <c r="D1426" s="32"/>
      <c r="E1426" s="32"/>
      <c r="F1426" s="32"/>
      <c r="G1426" s="32"/>
      <c r="H1426" s="33"/>
      <c r="I1426" s="10"/>
    </row>
    <row r="1427" spans="2:11" x14ac:dyDescent="0.2">
      <c r="B1427" s="34" t="s">
        <v>21</v>
      </c>
      <c r="C1427" s="35"/>
      <c r="D1427" s="35"/>
      <c r="E1427" s="35"/>
      <c r="F1427" s="35"/>
      <c r="G1427" s="35"/>
      <c r="H1427" s="36"/>
      <c r="I1427" s="10"/>
    </row>
    <row r="1428" spans="2:11" x14ac:dyDescent="0.2">
      <c r="B1428" s="37" t="s">
        <v>22</v>
      </c>
      <c r="C1428" s="38" t="s">
        <v>23</v>
      </c>
      <c r="D1428" s="38"/>
      <c r="E1428" s="38"/>
      <c r="F1428" s="38"/>
      <c r="G1428" s="38"/>
      <c r="H1428" s="39"/>
      <c r="I1428" s="10"/>
    </row>
    <row r="1429" spans="2:11" ht="10.8" thickBot="1" x14ac:dyDescent="0.25">
      <c r="B1429" s="40"/>
      <c r="C1429" s="41"/>
      <c r="D1429" s="41"/>
      <c r="E1429" s="41"/>
      <c r="F1429" s="41"/>
      <c r="G1429" s="41"/>
      <c r="H1429" s="41"/>
      <c r="I1429" s="42"/>
    </row>
    <row r="1430" spans="2:11" ht="10.8" thickTop="1" x14ac:dyDescent="0.2"/>
    <row r="1431" spans="2:11" ht="10.8" thickBot="1" x14ac:dyDescent="0.25"/>
    <row r="1432" spans="2:11" ht="10.8" thickTop="1" x14ac:dyDescent="0.2">
      <c r="B1432" s="4"/>
      <c r="C1432" s="4"/>
      <c r="D1432" s="4"/>
      <c r="E1432" s="4"/>
      <c r="F1432" s="4"/>
      <c r="G1432" s="4"/>
      <c r="H1432" s="4"/>
      <c r="I1432" s="5"/>
      <c r="K1432" s="2">
        <f>+K1411+1</f>
        <v>69</v>
      </c>
    </row>
    <row r="1433" spans="2:11" x14ac:dyDescent="0.2">
      <c r="B1433" s="7" t="s">
        <v>0</v>
      </c>
      <c r="C1433" s="8"/>
      <c r="D1433" s="8"/>
      <c r="E1433" s="8"/>
      <c r="F1433" s="8"/>
      <c r="G1433" s="8"/>
      <c r="H1433" s="9"/>
      <c r="I1433" s="10"/>
    </row>
    <row r="1434" spans="2:11" x14ac:dyDescent="0.2">
      <c r="B1434" s="11" t="s">
        <v>1</v>
      </c>
      <c r="C1434" s="12"/>
      <c r="D1434" s="12"/>
      <c r="E1434" s="12"/>
      <c r="F1434" s="12"/>
      <c r="G1434" s="12"/>
      <c r="H1434" s="13"/>
      <c r="I1434" s="10"/>
    </row>
    <row r="1435" spans="2:11" x14ac:dyDescent="0.2">
      <c r="B1435" s="11" t="s">
        <v>2</v>
      </c>
      <c r="C1435" s="12"/>
      <c r="D1435" s="12"/>
      <c r="E1435" s="12"/>
      <c r="F1435" s="12"/>
      <c r="G1435" s="12"/>
      <c r="H1435" s="13"/>
      <c r="I1435" s="10"/>
    </row>
    <row r="1436" spans="2:11" x14ac:dyDescent="0.2">
      <c r="B1436" s="14"/>
      <c r="H1436" s="15"/>
      <c r="I1436" s="10"/>
    </row>
    <row r="1437" spans="2:11" x14ac:dyDescent="0.2">
      <c r="B1437" s="16" t="s">
        <v>3</v>
      </c>
      <c r="C1437" s="17" t="s">
        <v>4</v>
      </c>
      <c r="D1437" s="18"/>
      <c r="E1437" s="18"/>
      <c r="F1437" s="18"/>
      <c r="G1437" s="18"/>
      <c r="H1437" s="19"/>
      <c r="I1437" s="10"/>
    </row>
    <row r="1438" spans="2:11" ht="20.399999999999999" x14ac:dyDescent="0.2">
      <c r="B1438" s="20" t="s">
        <v>5</v>
      </c>
      <c r="C1438" s="21" t="s">
        <v>6</v>
      </c>
      <c r="D1438" s="22"/>
      <c r="E1438" s="22"/>
      <c r="F1438" s="22"/>
      <c r="G1438" s="22"/>
      <c r="H1438" s="23"/>
      <c r="I1438" s="10"/>
    </row>
    <row r="1439" spans="2:11" x14ac:dyDescent="0.2">
      <c r="B1439" s="20" t="s">
        <v>7</v>
      </c>
      <c r="C1439" s="21" t="s">
        <v>8</v>
      </c>
      <c r="D1439" s="22"/>
      <c r="E1439" s="22"/>
      <c r="F1439" s="22"/>
      <c r="G1439" s="22"/>
      <c r="H1439" s="23"/>
      <c r="I1439" s="10"/>
    </row>
    <row r="1440" spans="2:11" x14ac:dyDescent="0.2">
      <c r="B1440" s="20" t="s">
        <v>9</v>
      </c>
      <c r="C1440" s="21" t="s">
        <v>10</v>
      </c>
      <c r="D1440" s="22"/>
      <c r="E1440" s="22"/>
      <c r="F1440" s="22"/>
      <c r="G1440" s="22"/>
      <c r="H1440" s="23"/>
      <c r="I1440" s="10"/>
    </row>
    <row r="1441" spans="2:11" x14ac:dyDescent="0.2">
      <c r="B1441" s="20" t="s">
        <v>11</v>
      </c>
      <c r="C1441" s="24" t="str">
        <f>VLOOKUP(K1432,'[1]FORM XIII'!C$14:P1657,3,0)</f>
        <v>UJAYFA</v>
      </c>
      <c r="D1441" s="25"/>
      <c r="E1441" s="25"/>
      <c r="F1441" s="25"/>
      <c r="G1441" s="25"/>
      <c r="H1441" s="26"/>
      <c r="I1441" s="10"/>
    </row>
    <row r="1442" spans="2:11" x14ac:dyDescent="0.2">
      <c r="B1442" s="20" t="s">
        <v>12</v>
      </c>
      <c r="C1442" s="24">
        <f>VLOOKUP(K1432,'[1]FORM XIII'!C$14:P1657,2,0)</f>
        <v>99136381</v>
      </c>
      <c r="D1442" s="25"/>
      <c r="E1442" s="25"/>
      <c r="F1442" s="25"/>
      <c r="G1442" s="25"/>
      <c r="H1442" s="26"/>
      <c r="I1442" s="10"/>
    </row>
    <row r="1443" spans="2:11" x14ac:dyDescent="0.2">
      <c r="B1443" s="20" t="s">
        <v>13</v>
      </c>
      <c r="C1443" s="24" t="str">
        <f>VLOOKUP(K1432,'[1]FORM XIII'!C$14:P1657,8,0)</f>
        <v>HELPER</v>
      </c>
      <c r="D1443" s="25"/>
      <c r="E1443" s="25"/>
      <c r="F1443" s="25"/>
      <c r="G1443" s="25"/>
      <c r="H1443" s="26"/>
      <c r="I1443" s="10"/>
    </row>
    <row r="1444" spans="2:11" ht="20.399999999999999" x14ac:dyDescent="0.2">
      <c r="B1444" s="20" t="s">
        <v>14</v>
      </c>
      <c r="C1444" s="44" t="s">
        <v>15</v>
      </c>
      <c r="D1444" s="45"/>
      <c r="E1444" s="45"/>
      <c r="F1444" s="45"/>
      <c r="G1444" s="45"/>
      <c r="H1444" s="46"/>
      <c r="I1444" s="10"/>
    </row>
    <row r="1445" spans="2:11" x14ac:dyDescent="0.2">
      <c r="B1445" s="20" t="s">
        <v>16</v>
      </c>
      <c r="C1445" s="44" t="s">
        <v>17</v>
      </c>
      <c r="D1445" s="45"/>
      <c r="E1445" s="45"/>
      <c r="F1445" s="45"/>
      <c r="G1445" s="45"/>
      <c r="H1445" s="46"/>
      <c r="I1445" s="10"/>
    </row>
    <row r="1446" spans="2:11" x14ac:dyDescent="0.2">
      <c r="B1446" s="20" t="s">
        <v>18</v>
      </c>
      <c r="C1446" s="47" t="s">
        <v>19</v>
      </c>
      <c r="D1446" s="22"/>
      <c r="E1446" s="22"/>
      <c r="F1446" s="22"/>
      <c r="G1446" s="22"/>
      <c r="H1446" s="23"/>
      <c r="I1446" s="10"/>
    </row>
    <row r="1447" spans="2:11" x14ac:dyDescent="0.2">
      <c r="B1447" s="30" t="s">
        <v>20</v>
      </c>
      <c r="C1447" s="31"/>
      <c r="D1447" s="32"/>
      <c r="E1447" s="32"/>
      <c r="F1447" s="32"/>
      <c r="G1447" s="32"/>
      <c r="H1447" s="33"/>
      <c r="I1447" s="10"/>
    </row>
    <row r="1448" spans="2:11" x14ac:dyDescent="0.2">
      <c r="B1448" s="34" t="s">
        <v>21</v>
      </c>
      <c r="C1448" s="35"/>
      <c r="D1448" s="35"/>
      <c r="E1448" s="35"/>
      <c r="F1448" s="35"/>
      <c r="G1448" s="35"/>
      <c r="H1448" s="36"/>
      <c r="I1448" s="10"/>
    </row>
    <row r="1449" spans="2:11" x14ac:dyDescent="0.2">
      <c r="B1449" s="37" t="s">
        <v>22</v>
      </c>
      <c r="C1449" s="38" t="s">
        <v>23</v>
      </c>
      <c r="D1449" s="38"/>
      <c r="E1449" s="38"/>
      <c r="F1449" s="38"/>
      <c r="G1449" s="38"/>
      <c r="H1449" s="39"/>
      <c r="I1449" s="10"/>
    </row>
    <row r="1450" spans="2:11" ht="10.8" thickBot="1" x14ac:dyDescent="0.25">
      <c r="B1450" s="40"/>
      <c r="C1450" s="41"/>
      <c r="D1450" s="41"/>
      <c r="E1450" s="41"/>
      <c r="F1450" s="41"/>
      <c r="G1450" s="41"/>
      <c r="H1450" s="41"/>
      <c r="I1450" s="42"/>
    </row>
    <row r="1451" spans="2:11" ht="10.8" thickTop="1" x14ac:dyDescent="0.2"/>
    <row r="1452" spans="2:11" ht="10.8" thickBot="1" x14ac:dyDescent="0.25"/>
    <row r="1453" spans="2:11" ht="10.8" thickTop="1" x14ac:dyDescent="0.2">
      <c r="B1453" s="4"/>
      <c r="C1453" s="4"/>
      <c r="D1453" s="4"/>
      <c r="E1453" s="4"/>
      <c r="F1453" s="4"/>
      <c r="G1453" s="4"/>
      <c r="H1453" s="4"/>
      <c r="I1453" s="5"/>
      <c r="K1453" s="2">
        <f>+K1432+1</f>
        <v>70</v>
      </c>
    </row>
    <row r="1454" spans="2:11" x14ac:dyDescent="0.2">
      <c r="B1454" s="7" t="s">
        <v>0</v>
      </c>
      <c r="C1454" s="8"/>
      <c r="D1454" s="8"/>
      <c r="E1454" s="8"/>
      <c r="F1454" s="8"/>
      <c r="G1454" s="8"/>
      <c r="H1454" s="9"/>
      <c r="I1454" s="10"/>
    </row>
    <row r="1455" spans="2:11" x14ac:dyDescent="0.2">
      <c r="B1455" s="11" t="s">
        <v>1</v>
      </c>
      <c r="C1455" s="12"/>
      <c r="D1455" s="12"/>
      <c r="E1455" s="12"/>
      <c r="F1455" s="12"/>
      <c r="G1455" s="12"/>
      <c r="H1455" s="13"/>
      <c r="I1455" s="10"/>
    </row>
    <row r="1456" spans="2:11" x14ac:dyDescent="0.2">
      <c r="B1456" s="11" t="s">
        <v>2</v>
      </c>
      <c r="C1456" s="12"/>
      <c r="D1456" s="12"/>
      <c r="E1456" s="12"/>
      <c r="F1456" s="12"/>
      <c r="G1456" s="12"/>
      <c r="H1456" s="13"/>
      <c r="I1456" s="10"/>
    </row>
    <row r="1457" spans="2:9" x14ac:dyDescent="0.2">
      <c r="B1457" s="14"/>
      <c r="H1457" s="15"/>
      <c r="I1457" s="10"/>
    </row>
    <row r="1458" spans="2:9" x14ac:dyDescent="0.2">
      <c r="B1458" s="16" t="s">
        <v>3</v>
      </c>
      <c r="C1458" s="17" t="s">
        <v>4</v>
      </c>
      <c r="D1458" s="18"/>
      <c r="E1458" s="18"/>
      <c r="F1458" s="18"/>
      <c r="G1458" s="18"/>
      <c r="H1458" s="19"/>
      <c r="I1458" s="10"/>
    </row>
    <row r="1459" spans="2:9" ht="20.399999999999999" x14ac:dyDescent="0.2">
      <c r="B1459" s="20" t="s">
        <v>5</v>
      </c>
      <c r="C1459" s="21" t="s">
        <v>6</v>
      </c>
      <c r="D1459" s="22"/>
      <c r="E1459" s="22"/>
      <c r="F1459" s="22"/>
      <c r="G1459" s="22"/>
      <c r="H1459" s="23"/>
      <c r="I1459" s="10"/>
    </row>
    <row r="1460" spans="2:9" x14ac:dyDescent="0.2">
      <c r="B1460" s="20" t="s">
        <v>7</v>
      </c>
      <c r="C1460" s="21" t="s">
        <v>8</v>
      </c>
      <c r="D1460" s="22"/>
      <c r="E1460" s="22"/>
      <c r="F1460" s="22"/>
      <c r="G1460" s="22"/>
      <c r="H1460" s="23"/>
      <c r="I1460" s="10"/>
    </row>
    <row r="1461" spans="2:9" x14ac:dyDescent="0.2">
      <c r="B1461" s="20" t="s">
        <v>9</v>
      </c>
      <c r="C1461" s="21" t="s">
        <v>10</v>
      </c>
      <c r="D1461" s="22"/>
      <c r="E1461" s="22"/>
      <c r="F1461" s="22"/>
      <c r="G1461" s="22"/>
      <c r="H1461" s="23"/>
      <c r="I1461" s="10"/>
    </row>
    <row r="1462" spans="2:9" x14ac:dyDescent="0.2">
      <c r="B1462" s="20" t="s">
        <v>11</v>
      </c>
      <c r="C1462" s="24" t="str">
        <f>VLOOKUP(K1453,'[1]FORM XIII'!C$14:P1678,3,0)</f>
        <v>SAURABH</v>
      </c>
      <c r="D1462" s="25"/>
      <c r="E1462" s="25"/>
      <c r="F1462" s="25"/>
      <c r="G1462" s="25"/>
      <c r="H1462" s="26"/>
      <c r="I1462" s="10"/>
    </row>
    <row r="1463" spans="2:9" x14ac:dyDescent="0.2">
      <c r="B1463" s="20" t="s">
        <v>12</v>
      </c>
      <c r="C1463" s="24">
        <f>VLOOKUP(K1453,'[1]FORM XIII'!C$14:P1678,2,0)</f>
        <v>99136422</v>
      </c>
      <c r="D1463" s="25"/>
      <c r="E1463" s="25"/>
      <c r="F1463" s="25"/>
      <c r="G1463" s="25"/>
      <c r="H1463" s="26"/>
      <c r="I1463" s="10"/>
    </row>
    <row r="1464" spans="2:9" x14ac:dyDescent="0.2">
      <c r="B1464" s="20" t="s">
        <v>13</v>
      </c>
      <c r="C1464" s="24" t="str">
        <f>VLOOKUP(K1453,'[1]FORM XIII'!C$14:P1678,8,0)</f>
        <v>HELPER</v>
      </c>
      <c r="D1464" s="25"/>
      <c r="E1464" s="25"/>
      <c r="F1464" s="25"/>
      <c r="G1464" s="25"/>
      <c r="H1464" s="26"/>
      <c r="I1464" s="10"/>
    </row>
    <row r="1465" spans="2:9" ht="20.399999999999999" x14ac:dyDescent="0.2">
      <c r="B1465" s="20" t="s">
        <v>14</v>
      </c>
      <c r="C1465" s="44" t="s">
        <v>15</v>
      </c>
      <c r="D1465" s="45"/>
      <c r="E1465" s="45"/>
      <c r="F1465" s="45"/>
      <c r="G1465" s="45"/>
      <c r="H1465" s="46"/>
      <c r="I1465" s="10"/>
    </row>
    <row r="1466" spans="2:9" x14ac:dyDescent="0.2">
      <c r="B1466" s="20" t="s">
        <v>16</v>
      </c>
      <c r="C1466" s="44" t="s">
        <v>17</v>
      </c>
      <c r="D1466" s="45"/>
      <c r="E1466" s="45"/>
      <c r="F1466" s="45"/>
      <c r="G1466" s="45"/>
      <c r="H1466" s="46"/>
      <c r="I1466" s="10"/>
    </row>
    <row r="1467" spans="2:9" x14ac:dyDescent="0.2">
      <c r="B1467" s="20" t="s">
        <v>18</v>
      </c>
      <c r="C1467" s="47" t="s">
        <v>19</v>
      </c>
      <c r="D1467" s="22"/>
      <c r="E1467" s="22"/>
      <c r="F1467" s="22"/>
      <c r="G1467" s="22"/>
      <c r="H1467" s="23"/>
      <c r="I1467" s="10"/>
    </row>
    <row r="1468" spans="2:9" x14ac:dyDescent="0.2">
      <c r="B1468" s="30" t="s">
        <v>20</v>
      </c>
      <c r="C1468" s="31"/>
      <c r="D1468" s="32"/>
      <c r="E1468" s="32"/>
      <c r="F1468" s="32"/>
      <c r="G1468" s="32"/>
      <c r="H1468" s="33"/>
      <c r="I1468" s="10"/>
    </row>
    <row r="1469" spans="2:9" x14ac:dyDescent="0.2">
      <c r="B1469" s="34" t="s">
        <v>21</v>
      </c>
      <c r="C1469" s="35"/>
      <c r="D1469" s="35"/>
      <c r="E1469" s="35"/>
      <c r="F1469" s="35"/>
      <c r="G1469" s="35"/>
      <c r="H1469" s="36"/>
      <c r="I1469" s="10"/>
    </row>
    <row r="1470" spans="2:9" x14ac:dyDescent="0.2">
      <c r="B1470" s="37" t="s">
        <v>22</v>
      </c>
      <c r="C1470" s="38" t="s">
        <v>23</v>
      </c>
      <c r="D1470" s="38"/>
      <c r="E1470" s="38"/>
      <c r="F1470" s="38"/>
      <c r="G1470" s="38"/>
      <c r="H1470" s="39"/>
      <c r="I1470" s="10"/>
    </row>
    <row r="1471" spans="2:9" ht="10.8" thickBot="1" x14ac:dyDescent="0.25">
      <c r="B1471" s="40"/>
      <c r="C1471" s="41"/>
      <c r="D1471" s="41"/>
      <c r="E1471" s="41"/>
      <c r="F1471" s="41"/>
      <c r="G1471" s="41"/>
      <c r="H1471" s="41"/>
      <c r="I1471" s="42"/>
    </row>
    <row r="1472" spans="2:9" ht="10.8" thickTop="1" x14ac:dyDescent="0.2"/>
    <row r="1473" spans="2:11" ht="10.8" thickBot="1" x14ac:dyDescent="0.25"/>
    <row r="1474" spans="2:11" ht="10.8" thickTop="1" x14ac:dyDescent="0.2">
      <c r="B1474" s="4"/>
      <c r="C1474" s="4"/>
      <c r="D1474" s="4"/>
      <c r="E1474" s="4"/>
      <c r="F1474" s="4"/>
      <c r="G1474" s="4"/>
      <c r="H1474" s="4"/>
      <c r="I1474" s="5"/>
      <c r="K1474" s="2">
        <f>+K1453+1</f>
        <v>71</v>
      </c>
    </row>
    <row r="1475" spans="2:11" x14ac:dyDescent="0.2">
      <c r="B1475" s="7" t="s">
        <v>0</v>
      </c>
      <c r="C1475" s="8"/>
      <c r="D1475" s="8"/>
      <c r="E1475" s="8"/>
      <c r="F1475" s="8"/>
      <c r="G1475" s="8"/>
      <c r="H1475" s="9"/>
      <c r="I1475" s="10"/>
    </row>
    <row r="1476" spans="2:11" x14ac:dyDescent="0.2">
      <c r="B1476" s="11" t="s">
        <v>1</v>
      </c>
      <c r="C1476" s="12"/>
      <c r="D1476" s="12"/>
      <c r="E1476" s="12"/>
      <c r="F1476" s="12"/>
      <c r="G1476" s="12"/>
      <c r="H1476" s="13"/>
      <c r="I1476" s="10"/>
    </row>
    <row r="1477" spans="2:11" x14ac:dyDescent="0.2">
      <c r="B1477" s="11" t="s">
        <v>2</v>
      </c>
      <c r="C1477" s="12"/>
      <c r="D1477" s="12"/>
      <c r="E1477" s="12"/>
      <c r="F1477" s="12"/>
      <c r="G1477" s="12"/>
      <c r="H1477" s="13"/>
      <c r="I1477" s="10"/>
    </row>
    <row r="1478" spans="2:11" x14ac:dyDescent="0.2">
      <c r="B1478" s="14"/>
      <c r="H1478" s="15"/>
      <c r="I1478" s="10"/>
    </row>
    <row r="1479" spans="2:11" x14ac:dyDescent="0.2">
      <c r="B1479" s="16" t="s">
        <v>3</v>
      </c>
      <c r="C1479" s="17" t="s">
        <v>4</v>
      </c>
      <c r="D1479" s="18"/>
      <c r="E1479" s="18"/>
      <c r="F1479" s="18"/>
      <c r="G1479" s="18"/>
      <c r="H1479" s="19"/>
      <c r="I1479" s="10"/>
    </row>
    <row r="1480" spans="2:11" ht="20.399999999999999" x14ac:dyDescent="0.2">
      <c r="B1480" s="20" t="s">
        <v>5</v>
      </c>
      <c r="C1480" s="21" t="s">
        <v>6</v>
      </c>
      <c r="D1480" s="22"/>
      <c r="E1480" s="22"/>
      <c r="F1480" s="22"/>
      <c r="G1480" s="22"/>
      <c r="H1480" s="23"/>
      <c r="I1480" s="10"/>
    </row>
    <row r="1481" spans="2:11" x14ac:dyDescent="0.2">
      <c r="B1481" s="20" t="s">
        <v>7</v>
      </c>
      <c r="C1481" s="21" t="s">
        <v>8</v>
      </c>
      <c r="D1481" s="22"/>
      <c r="E1481" s="22"/>
      <c r="F1481" s="22"/>
      <c r="G1481" s="22"/>
      <c r="H1481" s="23"/>
      <c r="I1481" s="10"/>
    </row>
    <row r="1482" spans="2:11" x14ac:dyDescent="0.2">
      <c r="B1482" s="20" t="s">
        <v>9</v>
      </c>
      <c r="C1482" s="21" t="s">
        <v>10</v>
      </c>
      <c r="D1482" s="22"/>
      <c r="E1482" s="22"/>
      <c r="F1482" s="22"/>
      <c r="G1482" s="22"/>
      <c r="H1482" s="23"/>
      <c r="I1482" s="10"/>
    </row>
    <row r="1483" spans="2:11" x14ac:dyDescent="0.2">
      <c r="B1483" s="20" t="s">
        <v>11</v>
      </c>
      <c r="C1483" s="24" t="str">
        <f>VLOOKUP(K1474,'[1]FORM XIII'!C$14:P1699,3,0)</f>
        <v>DEEPAK</v>
      </c>
      <c r="D1483" s="25"/>
      <c r="E1483" s="25"/>
      <c r="F1483" s="25"/>
      <c r="G1483" s="25"/>
      <c r="H1483" s="26"/>
      <c r="I1483" s="10"/>
    </row>
    <row r="1484" spans="2:11" x14ac:dyDescent="0.2">
      <c r="B1484" s="20" t="s">
        <v>12</v>
      </c>
      <c r="C1484" s="24">
        <f>VLOOKUP(K1474,'[1]FORM XIII'!C$14:P1699,2,0)</f>
        <v>99136423</v>
      </c>
      <c r="D1484" s="25"/>
      <c r="E1484" s="25"/>
      <c r="F1484" s="25"/>
      <c r="G1484" s="25"/>
      <c r="H1484" s="26"/>
      <c r="I1484" s="10"/>
    </row>
    <row r="1485" spans="2:11" x14ac:dyDescent="0.2">
      <c r="B1485" s="20" t="s">
        <v>13</v>
      </c>
      <c r="C1485" s="24" t="str">
        <f>VLOOKUP(K1474,'[1]FORM XIII'!C$14:P1699,8,0)</f>
        <v>HELPER</v>
      </c>
      <c r="D1485" s="25"/>
      <c r="E1485" s="25"/>
      <c r="F1485" s="25"/>
      <c r="G1485" s="25"/>
      <c r="H1485" s="26"/>
      <c r="I1485" s="10"/>
    </row>
    <row r="1486" spans="2:11" ht="20.399999999999999" x14ac:dyDescent="0.2">
      <c r="B1486" s="20" t="s">
        <v>14</v>
      </c>
      <c r="C1486" s="44" t="s">
        <v>15</v>
      </c>
      <c r="D1486" s="45"/>
      <c r="E1486" s="45"/>
      <c r="F1486" s="45"/>
      <c r="G1486" s="45"/>
      <c r="H1486" s="46"/>
      <c r="I1486" s="10"/>
    </row>
    <row r="1487" spans="2:11" x14ac:dyDescent="0.2">
      <c r="B1487" s="20" t="s">
        <v>16</v>
      </c>
      <c r="C1487" s="44" t="s">
        <v>17</v>
      </c>
      <c r="D1487" s="45"/>
      <c r="E1487" s="45"/>
      <c r="F1487" s="45"/>
      <c r="G1487" s="45"/>
      <c r="H1487" s="46"/>
      <c r="I1487" s="10"/>
    </row>
    <row r="1488" spans="2:11" x14ac:dyDescent="0.2">
      <c r="B1488" s="20" t="s">
        <v>18</v>
      </c>
      <c r="C1488" s="47" t="s">
        <v>19</v>
      </c>
      <c r="D1488" s="22"/>
      <c r="E1488" s="22"/>
      <c r="F1488" s="22"/>
      <c r="G1488" s="22"/>
      <c r="H1488" s="23"/>
      <c r="I1488" s="10"/>
    </row>
    <row r="1489" spans="2:11" x14ac:dyDescent="0.2">
      <c r="B1489" s="30" t="s">
        <v>20</v>
      </c>
      <c r="C1489" s="31"/>
      <c r="D1489" s="32"/>
      <c r="E1489" s="32"/>
      <c r="F1489" s="32"/>
      <c r="G1489" s="32"/>
      <c r="H1489" s="33"/>
      <c r="I1489" s="10"/>
    </row>
    <row r="1490" spans="2:11" x14ac:dyDescent="0.2">
      <c r="B1490" s="34" t="s">
        <v>21</v>
      </c>
      <c r="C1490" s="35"/>
      <c r="D1490" s="35"/>
      <c r="E1490" s="35"/>
      <c r="F1490" s="35"/>
      <c r="G1490" s="35"/>
      <c r="H1490" s="36"/>
      <c r="I1490" s="10"/>
    </row>
    <row r="1491" spans="2:11" x14ac:dyDescent="0.2">
      <c r="B1491" s="37" t="s">
        <v>22</v>
      </c>
      <c r="C1491" s="38" t="s">
        <v>23</v>
      </c>
      <c r="D1491" s="38"/>
      <c r="E1491" s="38"/>
      <c r="F1491" s="38"/>
      <c r="G1491" s="38"/>
      <c r="H1491" s="39"/>
      <c r="I1491" s="10"/>
    </row>
    <row r="1492" spans="2:11" ht="10.8" thickBot="1" x14ac:dyDescent="0.25">
      <c r="B1492" s="40"/>
      <c r="C1492" s="41"/>
      <c r="D1492" s="41"/>
      <c r="E1492" s="41"/>
      <c r="F1492" s="41"/>
      <c r="G1492" s="41"/>
      <c r="H1492" s="41"/>
      <c r="I1492" s="42"/>
    </row>
    <row r="1493" spans="2:11" ht="10.8" thickTop="1" x14ac:dyDescent="0.2"/>
    <row r="1494" spans="2:11" ht="10.8" thickBot="1" x14ac:dyDescent="0.25"/>
    <row r="1495" spans="2:11" ht="10.8" thickTop="1" x14ac:dyDescent="0.2">
      <c r="B1495" s="4"/>
      <c r="C1495" s="4"/>
      <c r="D1495" s="4"/>
      <c r="E1495" s="4"/>
      <c r="F1495" s="4"/>
      <c r="G1495" s="4"/>
      <c r="H1495" s="4"/>
      <c r="I1495" s="5"/>
      <c r="K1495" s="2">
        <f>+K1474+1</f>
        <v>72</v>
      </c>
    </row>
    <row r="1496" spans="2:11" x14ac:dyDescent="0.2">
      <c r="B1496" s="7" t="s">
        <v>0</v>
      </c>
      <c r="C1496" s="8"/>
      <c r="D1496" s="8"/>
      <c r="E1496" s="8"/>
      <c r="F1496" s="8"/>
      <c r="G1496" s="8"/>
      <c r="H1496" s="9"/>
      <c r="I1496" s="10"/>
    </row>
    <row r="1497" spans="2:11" x14ac:dyDescent="0.2">
      <c r="B1497" s="11" t="s">
        <v>1</v>
      </c>
      <c r="C1497" s="12"/>
      <c r="D1497" s="12"/>
      <c r="E1497" s="12"/>
      <c r="F1497" s="12"/>
      <c r="G1497" s="12"/>
      <c r="H1497" s="13"/>
      <c r="I1497" s="10"/>
    </row>
    <row r="1498" spans="2:11" x14ac:dyDescent="0.2">
      <c r="B1498" s="11" t="s">
        <v>2</v>
      </c>
      <c r="C1498" s="12"/>
      <c r="D1498" s="12"/>
      <c r="E1498" s="12"/>
      <c r="F1498" s="12"/>
      <c r="G1498" s="12"/>
      <c r="H1498" s="13"/>
      <c r="I1498" s="10"/>
    </row>
    <row r="1499" spans="2:11" x14ac:dyDescent="0.2">
      <c r="B1499" s="14"/>
      <c r="H1499" s="15"/>
      <c r="I1499" s="10"/>
    </row>
    <row r="1500" spans="2:11" x14ac:dyDescent="0.2">
      <c r="B1500" s="16" t="s">
        <v>3</v>
      </c>
      <c r="C1500" s="17" t="s">
        <v>4</v>
      </c>
      <c r="D1500" s="18"/>
      <c r="E1500" s="18"/>
      <c r="F1500" s="18"/>
      <c r="G1500" s="18"/>
      <c r="H1500" s="19"/>
      <c r="I1500" s="10"/>
    </row>
    <row r="1501" spans="2:11" ht="20.399999999999999" x14ac:dyDescent="0.2">
      <c r="B1501" s="20" t="s">
        <v>5</v>
      </c>
      <c r="C1501" s="21" t="s">
        <v>6</v>
      </c>
      <c r="D1501" s="22"/>
      <c r="E1501" s="22"/>
      <c r="F1501" s="22"/>
      <c r="G1501" s="22"/>
      <c r="H1501" s="23"/>
      <c r="I1501" s="10"/>
    </row>
    <row r="1502" spans="2:11" x14ac:dyDescent="0.2">
      <c r="B1502" s="20" t="s">
        <v>7</v>
      </c>
      <c r="C1502" s="21" t="s">
        <v>8</v>
      </c>
      <c r="D1502" s="22"/>
      <c r="E1502" s="22"/>
      <c r="F1502" s="22"/>
      <c r="G1502" s="22"/>
      <c r="H1502" s="23"/>
      <c r="I1502" s="10"/>
    </row>
    <row r="1503" spans="2:11" x14ac:dyDescent="0.2">
      <c r="B1503" s="20" t="s">
        <v>9</v>
      </c>
      <c r="C1503" s="21" t="s">
        <v>10</v>
      </c>
      <c r="D1503" s="22"/>
      <c r="E1503" s="22"/>
      <c r="F1503" s="22"/>
      <c r="G1503" s="22"/>
      <c r="H1503" s="23"/>
      <c r="I1503" s="10"/>
    </row>
    <row r="1504" spans="2:11" x14ac:dyDescent="0.2">
      <c r="B1504" s="20" t="s">
        <v>11</v>
      </c>
      <c r="C1504" s="24" t="str">
        <f>VLOOKUP(K1495,'[1]FORM XIII'!C$14:P1720,3,0)</f>
        <v>ADESH</v>
      </c>
      <c r="D1504" s="25"/>
      <c r="E1504" s="25"/>
      <c r="F1504" s="25"/>
      <c r="G1504" s="25"/>
      <c r="H1504" s="26"/>
      <c r="I1504" s="10"/>
    </row>
    <row r="1505" spans="2:11" x14ac:dyDescent="0.2">
      <c r="B1505" s="20" t="s">
        <v>12</v>
      </c>
      <c r="C1505" s="24">
        <f>VLOOKUP(K1495,'[1]FORM XIII'!C$14:P1720,2,0)</f>
        <v>99124414</v>
      </c>
      <c r="D1505" s="25"/>
      <c r="E1505" s="25"/>
      <c r="F1505" s="25"/>
      <c r="G1505" s="25"/>
      <c r="H1505" s="26"/>
      <c r="I1505" s="10"/>
    </row>
    <row r="1506" spans="2:11" x14ac:dyDescent="0.2">
      <c r="B1506" s="20" t="s">
        <v>13</v>
      </c>
      <c r="C1506" s="24" t="str">
        <f>VLOOKUP(K1495,'[1]FORM XIII'!C$14:P1720,8,0)</f>
        <v>HELPER</v>
      </c>
      <c r="D1506" s="25"/>
      <c r="E1506" s="25"/>
      <c r="F1506" s="25"/>
      <c r="G1506" s="25"/>
      <c r="H1506" s="26"/>
      <c r="I1506" s="10"/>
    </row>
    <row r="1507" spans="2:11" ht="20.399999999999999" x14ac:dyDescent="0.2">
      <c r="B1507" s="20" t="s">
        <v>14</v>
      </c>
      <c r="C1507" s="44" t="s">
        <v>15</v>
      </c>
      <c r="D1507" s="45"/>
      <c r="E1507" s="45"/>
      <c r="F1507" s="45"/>
      <c r="G1507" s="45"/>
      <c r="H1507" s="46"/>
      <c r="I1507" s="10"/>
    </row>
    <row r="1508" spans="2:11" x14ac:dyDescent="0.2">
      <c r="B1508" s="20" t="s">
        <v>16</v>
      </c>
      <c r="C1508" s="44" t="s">
        <v>17</v>
      </c>
      <c r="D1508" s="45"/>
      <c r="E1508" s="45"/>
      <c r="F1508" s="45"/>
      <c r="G1508" s="45"/>
      <c r="H1508" s="46"/>
      <c r="I1508" s="10"/>
    </row>
    <row r="1509" spans="2:11" x14ac:dyDescent="0.2">
      <c r="B1509" s="20" t="s">
        <v>18</v>
      </c>
      <c r="C1509" s="47" t="s">
        <v>19</v>
      </c>
      <c r="D1509" s="22"/>
      <c r="E1509" s="22"/>
      <c r="F1509" s="22"/>
      <c r="G1509" s="22"/>
      <c r="H1509" s="23"/>
      <c r="I1509" s="10"/>
    </row>
    <row r="1510" spans="2:11" x14ac:dyDescent="0.2">
      <c r="B1510" s="30" t="s">
        <v>20</v>
      </c>
      <c r="C1510" s="31"/>
      <c r="D1510" s="32"/>
      <c r="E1510" s="32"/>
      <c r="F1510" s="32"/>
      <c r="G1510" s="32"/>
      <c r="H1510" s="33"/>
      <c r="I1510" s="10"/>
    </row>
    <row r="1511" spans="2:11" x14ac:dyDescent="0.2">
      <c r="B1511" s="34" t="s">
        <v>21</v>
      </c>
      <c r="C1511" s="35"/>
      <c r="D1511" s="35"/>
      <c r="E1511" s="35"/>
      <c r="F1511" s="35"/>
      <c r="G1511" s="35"/>
      <c r="H1511" s="36"/>
      <c r="I1511" s="10"/>
    </row>
    <row r="1512" spans="2:11" x14ac:dyDescent="0.2">
      <c r="B1512" s="37" t="s">
        <v>22</v>
      </c>
      <c r="C1512" s="38" t="s">
        <v>23</v>
      </c>
      <c r="D1512" s="38"/>
      <c r="E1512" s="38"/>
      <c r="F1512" s="38"/>
      <c r="G1512" s="38"/>
      <c r="H1512" s="39"/>
      <c r="I1512" s="10"/>
    </row>
    <row r="1513" spans="2:11" ht="10.8" thickBot="1" x14ac:dyDescent="0.25">
      <c r="B1513" s="40"/>
      <c r="C1513" s="41"/>
      <c r="D1513" s="41"/>
      <c r="E1513" s="41"/>
      <c r="F1513" s="41"/>
      <c r="G1513" s="41"/>
      <c r="H1513" s="41"/>
      <c r="I1513" s="42"/>
    </row>
    <row r="1514" spans="2:11" ht="10.8" thickTop="1" x14ac:dyDescent="0.2"/>
    <row r="1515" spans="2:11" ht="10.8" thickBot="1" x14ac:dyDescent="0.25"/>
    <row r="1516" spans="2:11" ht="10.8" thickTop="1" x14ac:dyDescent="0.2">
      <c r="B1516" s="4"/>
      <c r="C1516" s="4"/>
      <c r="D1516" s="4"/>
      <c r="E1516" s="4"/>
      <c r="F1516" s="4"/>
      <c r="G1516" s="4"/>
      <c r="H1516" s="4"/>
      <c r="I1516" s="5"/>
      <c r="K1516" s="2">
        <f>+K1495+1</f>
        <v>73</v>
      </c>
    </row>
    <row r="1517" spans="2:11" x14ac:dyDescent="0.2">
      <c r="B1517" s="7" t="s">
        <v>0</v>
      </c>
      <c r="C1517" s="8"/>
      <c r="D1517" s="8"/>
      <c r="E1517" s="8"/>
      <c r="F1517" s="8"/>
      <c r="G1517" s="8"/>
      <c r="H1517" s="9"/>
      <c r="I1517" s="10"/>
    </row>
    <row r="1518" spans="2:11" x14ac:dyDescent="0.2">
      <c r="B1518" s="11" t="s">
        <v>1</v>
      </c>
      <c r="C1518" s="12"/>
      <c r="D1518" s="12"/>
      <c r="E1518" s="12"/>
      <c r="F1518" s="12"/>
      <c r="G1518" s="12"/>
      <c r="H1518" s="13"/>
      <c r="I1518" s="10"/>
    </row>
    <row r="1519" spans="2:11" x14ac:dyDescent="0.2">
      <c r="B1519" s="11" t="s">
        <v>2</v>
      </c>
      <c r="C1519" s="12"/>
      <c r="D1519" s="12"/>
      <c r="E1519" s="12"/>
      <c r="F1519" s="12"/>
      <c r="G1519" s="12"/>
      <c r="H1519" s="13"/>
      <c r="I1519" s="10"/>
    </row>
    <row r="1520" spans="2:11" x14ac:dyDescent="0.2">
      <c r="B1520" s="14"/>
      <c r="H1520" s="15"/>
      <c r="I1520" s="10"/>
    </row>
    <row r="1521" spans="2:9" x14ac:dyDescent="0.2">
      <c r="B1521" s="16" t="s">
        <v>3</v>
      </c>
      <c r="C1521" s="17" t="s">
        <v>4</v>
      </c>
      <c r="D1521" s="18"/>
      <c r="E1521" s="18"/>
      <c r="F1521" s="18"/>
      <c r="G1521" s="18"/>
      <c r="H1521" s="19"/>
      <c r="I1521" s="10"/>
    </row>
    <row r="1522" spans="2:9" ht="20.399999999999999" x14ac:dyDescent="0.2">
      <c r="B1522" s="20" t="s">
        <v>5</v>
      </c>
      <c r="C1522" s="21" t="s">
        <v>6</v>
      </c>
      <c r="D1522" s="22"/>
      <c r="E1522" s="22"/>
      <c r="F1522" s="22"/>
      <c r="G1522" s="22"/>
      <c r="H1522" s="23"/>
      <c r="I1522" s="10"/>
    </row>
    <row r="1523" spans="2:9" x14ac:dyDescent="0.2">
      <c r="B1523" s="20" t="s">
        <v>7</v>
      </c>
      <c r="C1523" s="21" t="s">
        <v>8</v>
      </c>
      <c r="D1523" s="22"/>
      <c r="E1523" s="22"/>
      <c r="F1523" s="22"/>
      <c r="G1523" s="22"/>
      <c r="H1523" s="23"/>
      <c r="I1523" s="10"/>
    </row>
    <row r="1524" spans="2:9" x14ac:dyDescent="0.2">
      <c r="B1524" s="20" t="s">
        <v>9</v>
      </c>
      <c r="C1524" s="21" t="s">
        <v>10</v>
      </c>
      <c r="D1524" s="22"/>
      <c r="E1524" s="22"/>
      <c r="F1524" s="22"/>
      <c r="G1524" s="22"/>
      <c r="H1524" s="23"/>
      <c r="I1524" s="10"/>
    </row>
    <row r="1525" spans="2:9" x14ac:dyDescent="0.2">
      <c r="B1525" s="20" t="s">
        <v>11</v>
      </c>
      <c r="C1525" s="24" t="str">
        <f>VLOOKUP(K1516,'[1]FORM XIII'!C$14:P1741,3,0)</f>
        <v>VIMAL</v>
      </c>
      <c r="D1525" s="25"/>
      <c r="E1525" s="25"/>
      <c r="F1525" s="25"/>
      <c r="G1525" s="25"/>
      <c r="H1525" s="26"/>
      <c r="I1525" s="10"/>
    </row>
    <row r="1526" spans="2:9" x14ac:dyDescent="0.2">
      <c r="B1526" s="20" t="s">
        <v>12</v>
      </c>
      <c r="C1526" s="24">
        <f>VLOOKUP(K1516,'[1]FORM XIII'!C$14:P1741,2,0)</f>
        <v>99134665</v>
      </c>
      <c r="D1526" s="25"/>
      <c r="E1526" s="25"/>
      <c r="F1526" s="25"/>
      <c r="G1526" s="25"/>
      <c r="H1526" s="26"/>
      <c r="I1526" s="10"/>
    </row>
    <row r="1527" spans="2:9" x14ac:dyDescent="0.2">
      <c r="B1527" s="20" t="s">
        <v>13</v>
      </c>
      <c r="C1527" s="24" t="str">
        <f>VLOOKUP(K1516,'[1]FORM XIII'!C$14:P1741,8,0)</f>
        <v>HELPER</v>
      </c>
      <c r="D1527" s="25"/>
      <c r="E1527" s="25"/>
      <c r="F1527" s="25"/>
      <c r="G1527" s="25"/>
      <c r="H1527" s="26"/>
      <c r="I1527" s="10"/>
    </row>
    <row r="1528" spans="2:9" ht="20.399999999999999" x14ac:dyDescent="0.2">
      <c r="B1528" s="20" t="s">
        <v>14</v>
      </c>
      <c r="C1528" s="44" t="s">
        <v>15</v>
      </c>
      <c r="D1528" s="45"/>
      <c r="E1528" s="45"/>
      <c r="F1528" s="45"/>
      <c r="G1528" s="45"/>
      <c r="H1528" s="46"/>
      <c r="I1528" s="10"/>
    </row>
    <row r="1529" spans="2:9" x14ac:dyDescent="0.2">
      <c r="B1529" s="20" t="s">
        <v>16</v>
      </c>
      <c r="C1529" s="44" t="s">
        <v>17</v>
      </c>
      <c r="D1529" s="45"/>
      <c r="E1529" s="45"/>
      <c r="F1529" s="45"/>
      <c r="G1529" s="45"/>
      <c r="H1529" s="46"/>
      <c r="I1529" s="10"/>
    </row>
    <row r="1530" spans="2:9" x14ac:dyDescent="0.2">
      <c r="B1530" s="20" t="s">
        <v>18</v>
      </c>
      <c r="C1530" s="47" t="s">
        <v>19</v>
      </c>
      <c r="D1530" s="22"/>
      <c r="E1530" s="22"/>
      <c r="F1530" s="22"/>
      <c r="G1530" s="22"/>
      <c r="H1530" s="23"/>
      <c r="I1530" s="10"/>
    </row>
    <row r="1531" spans="2:9" x14ac:dyDescent="0.2">
      <c r="B1531" s="30" t="s">
        <v>20</v>
      </c>
      <c r="C1531" s="31"/>
      <c r="D1531" s="32"/>
      <c r="E1531" s="32"/>
      <c r="F1531" s="32"/>
      <c r="G1531" s="32"/>
      <c r="H1531" s="33"/>
      <c r="I1531" s="10"/>
    </row>
    <row r="1532" spans="2:9" x14ac:dyDescent="0.2">
      <c r="B1532" s="34" t="s">
        <v>21</v>
      </c>
      <c r="C1532" s="35"/>
      <c r="D1532" s="35"/>
      <c r="E1532" s="35"/>
      <c r="F1532" s="35"/>
      <c r="G1532" s="35"/>
      <c r="H1532" s="36"/>
      <c r="I1532" s="10"/>
    </row>
    <row r="1533" spans="2:9" x14ac:dyDescent="0.2">
      <c r="B1533" s="37" t="s">
        <v>22</v>
      </c>
      <c r="C1533" s="38" t="s">
        <v>23</v>
      </c>
      <c r="D1533" s="38"/>
      <c r="E1533" s="38"/>
      <c r="F1533" s="38"/>
      <c r="G1533" s="38"/>
      <c r="H1533" s="39"/>
      <c r="I1533" s="10"/>
    </row>
    <row r="1534" spans="2:9" ht="10.8" thickBot="1" x14ac:dyDescent="0.25">
      <c r="B1534" s="40"/>
      <c r="C1534" s="41"/>
      <c r="D1534" s="41"/>
      <c r="E1534" s="41"/>
      <c r="F1534" s="41"/>
      <c r="G1534" s="41"/>
      <c r="H1534" s="41"/>
      <c r="I1534" s="42"/>
    </row>
    <row r="1535" spans="2:9" ht="10.8" thickTop="1" x14ac:dyDescent="0.2"/>
    <row r="1536" spans="2:9" ht="10.8" thickBot="1" x14ac:dyDescent="0.25"/>
    <row r="1537" spans="2:11" ht="10.8" thickTop="1" x14ac:dyDescent="0.2">
      <c r="B1537" s="4"/>
      <c r="C1537" s="4"/>
      <c r="D1537" s="4"/>
      <c r="E1537" s="4"/>
      <c r="F1537" s="4"/>
      <c r="G1537" s="4"/>
      <c r="H1537" s="4"/>
      <c r="I1537" s="5"/>
      <c r="J1537" s="6"/>
      <c r="K1537" s="2">
        <f>+K1516+1</f>
        <v>74</v>
      </c>
    </row>
    <row r="1538" spans="2:11" x14ac:dyDescent="0.2">
      <c r="B1538" s="7" t="s">
        <v>0</v>
      </c>
      <c r="C1538" s="8"/>
      <c r="D1538" s="8"/>
      <c r="E1538" s="8"/>
      <c r="F1538" s="8"/>
      <c r="G1538" s="8"/>
      <c r="H1538" s="9"/>
      <c r="I1538" s="10"/>
      <c r="J1538" s="6"/>
    </row>
    <row r="1539" spans="2:11" x14ac:dyDescent="0.2">
      <c r="B1539" s="11" t="s">
        <v>1</v>
      </c>
      <c r="C1539" s="12"/>
      <c r="D1539" s="12"/>
      <c r="E1539" s="12"/>
      <c r="F1539" s="12"/>
      <c r="G1539" s="12"/>
      <c r="H1539" s="13"/>
      <c r="I1539" s="10"/>
      <c r="J1539" s="6"/>
    </row>
    <row r="1540" spans="2:11" x14ac:dyDescent="0.2">
      <c r="B1540" s="11" t="s">
        <v>2</v>
      </c>
      <c r="C1540" s="12"/>
      <c r="D1540" s="12"/>
      <c r="E1540" s="12"/>
      <c r="F1540" s="12"/>
      <c r="G1540" s="12"/>
      <c r="H1540" s="13"/>
      <c r="I1540" s="10"/>
      <c r="J1540" s="6"/>
    </row>
    <row r="1541" spans="2:11" x14ac:dyDescent="0.2">
      <c r="B1541" s="14"/>
      <c r="H1541" s="15"/>
      <c r="I1541" s="10"/>
      <c r="J1541" s="6"/>
    </row>
    <row r="1542" spans="2:11" x14ac:dyDescent="0.2">
      <c r="B1542" s="16" t="s">
        <v>3</v>
      </c>
      <c r="C1542" s="17" t="s">
        <v>4</v>
      </c>
      <c r="D1542" s="18"/>
      <c r="E1542" s="18"/>
      <c r="F1542" s="18"/>
      <c r="G1542" s="18"/>
      <c r="H1542" s="19"/>
      <c r="I1542" s="10"/>
      <c r="J1542" s="6"/>
    </row>
    <row r="1543" spans="2:11" ht="20.399999999999999" x14ac:dyDescent="0.2">
      <c r="B1543" s="20" t="s">
        <v>5</v>
      </c>
      <c r="C1543" s="21" t="s">
        <v>6</v>
      </c>
      <c r="D1543" s="22"/>
      <c r="E1543" s="22"/>
      <c r="F1543" s="22"/>
      <c r="G1543" s="22"/>
      <c r="H1543" s="23"/>
      <c r="I1543" s="10"/>
      <c r="J1543" s="6"/>
    </row>
    <row r="1544" spans="2:11" x14ac:dyDescent="0.2">
      <c r="B1544" s="20" t="s">
        <v>7</v>
      </c>
      <c r="C1544" s="21" t="s">
        <v>8</v>
      </c>
      <c r="D1544" s="22"/>
      <c r="E1544" s="22"/>
      <c r="F1544" s="22"/>
      <c r="G1544" s="22"/>
      <c r="H1544" s="23"/>
      <c r="I1544" s="10"/>
      <c r="J1544" s="6"/>
    </row>
    <row r="1545" spans="2:11" x14ac:dyDescent="0.2">
      <c r="B1545" s="20" t="s">
        <v>9</v>
      </c>
      <c r="C1545" s="21" t="s">
        <v>10</v>
      </c>
      <c r="D1545" s="22"/>
      <c r="E1545" s="22"/>
      <c r="F1545" s="22"/>
      <c r="G1545" s="22"/>
      <c r="H1545" s="23"/>
      <c r="I1545" s="10"/>
      <c r="J1545" s="6"/>
    </row>
    <row r="1546" spans="2:11" x14ac:dyDescent="0.2">
      <c r="B1546" s="20" t="s">
        <v>11</v>
      </c>
      <c r="C1546" s="24" t="str">
        <f>VLOOKUP(K1537,'[1]FORM XIII'!C$14:P1762,3,0)</f>
        <v>NARENDER SINGH</v>
      </c>
      <c r="D1546" s="25"/>
      <c r="E1546" s="25"/>
      <c r="F1546" s="25"/>
      <c r="G1546" s="25"/>
      <c r="H1546" s="26"/>
      <c r="I1546" s="10"/>
      <c r="J1546" s="6"/>
    </row>
    <row r="1547" spans="2:11" x14ac:dyDescent="0.2">
      <c r="B1547" s="20" t="s">
        <v>12</v>
      </c>
      <c r="C1547" s="24">
        <f>VLOOKUP(K1537,'[1]FORM XIII'!C$14:P1762,2,0)</f>
        <v>99134789</v>
      </c>
      <c r="D1547" s="25"/>
      <c r="E1547" s="25"/>
      <c r="F1547" s="25"/>
      <c r="G1547" s="25"/>
      <c r="H1547" s="26"/>
      <c r="I1547" s="10"/>
      <c r="J1547" s="6"/>
    </row>
    <row r="1548" spans="2:11" x14ac:dyDescent="0.2">
      <c r="B1548" s="20" t="s">
        <v>13</v>
      </c>
      <c r="C1548" s="24" t="str">
        <f>VLOOKUP(K1537,'[1]FORM XIII'!C$14:P1762,8,0)</f>
        <v>HELPER</v>
      </c>
      <c r="D1548" s="25"/>
      <c r="E1548" s="25"/>
      <c r="F1548" s="25"/>
      <c r="G1548" s="25"/>
      <c r="H1548" s="26"/>
      <c r="I1548" s="10"/>
      <c r="J1548" s="6"/>
    </row>
    <row r="1549" spans="2:11" ht="20.399999999999999" x14ac:dyDescent="0.2">
      <c r="B1549" s="20" t="s">
        <v>14</v>
      </c>
      <c r="C1549" s="44" t="s">
        <v>15</v>
      </c>
      <c r="D1549" s="45"/>
      <c r="E1549" s="45"/>
      <c r="F1549" s="45"/>
      <c r="G1549" s="45"/>
      <c r="H1549" s="46"/>
      <c r="I1549" s="10"/>
      <c r="J1549" s="6"/>
    </row>
    <row r="1550" spans="2:11" x14ac:dyDescent="0.2">
      <c r="B1550" s="20" t="s">
        <v>16</v>
      </c>
      <c r="C1550" s="44" t="s">
        <v>17</v>
      </c>
      <c r="D1550" s="45"/>
      <c r="E1550" s="45"/>
      <c r="F1550" s="45"/>
      <c r="G1550" s="45"/>
      <c r="H1550" s="46"/>
      <c r="I1550" s="10"/>
      <c r="J1550" s="6"/>
    </row>
    <row r="1551" spans="2:11" x14ac:dyDescent="0.2">
      <c r="B1551" s="20" t="s">
        <v>18</v>
      </c>
      <c r="C1551" s="47" t="s">
        <v>19</v>
      </c>
      <c r="D1551" s="22"/>
      <c r="E1551" s="22"/>
      <c r="F1551" s="22"/>
      <c r="G1551" s="22"/>
      <c r="H1551" s="23"/>
      <c r="I1551" s="10"/>
      <c r="J1551" s="6"/>
    </row>
    <row r="1552" spans="2:11" x14ac:dyDescent="0.2">
      <c r="B1552" s="30" t="s">
        <v>20</v>
      </c>
      <c r="C1552" s="31"/>
      <c r="D1552" s="32"/>
      <c r="E1552" s="32"/>
      <c r="F1552" s="32"/>
      <c r="G1552" s="32"/>
      <c r="H1552" s="33"/>
      <c r="I1552" s="10"/>
      <c r="J1552" s="6"/>
    </row>
    <row r="1553" spans="2:11" x14ac:dyDescent="0.2">
      <c r="B1553" s="34" t="s">
        <v>21</v>
      </c>
      <c r="C1553" s="35"/>
      <c r="D1553" s="35"/>
      <c r="E1553" s="35"/>
      <c r="F1553" s="35"/>
      <c r="G1553" s="35"/>
      <c r="H1553" s="36"/>
      <c r="I1553" s="10"/>
      <c r="J1553" s="6"/>
    </row>
    <row r="1554" spans="2:11" x14ac:dyDescent="0.2">
      <c r="B1554" s="37" t="s">
        <v>22</v>
      </c>
      <c r="C1554" s="38" t="s">
        <v>23</v>
      </c>
      <c r="D1554" s="38"/>
      <c r="E1554" s="38"/>
      <c r="F1554" s="38"/>
      <c r="G1554" s="38"/>
      <c r="H1554" s="39"/>
      <c r="I1554" s="10"/>
      <c r="J1554" s="6"/>
    </row>
    <row r="1555" spans="2:11" ht="10.8" thickBot="1" x14ac:dyDescent="0.25">
      <c r="B1555" s="40"/>
      <c r="C1555" s="41"/>
      <c r="D1555" s="41"/>
      <c r="E1555" s="41"/>
      <c r="F1555" s="41"/>
      <c r="G1555" s="41"/>
      <c r="H1555" s="41"/>
      <c r="I1555" s="42"/>
      <c r="J1555" s="6"/>
    </row>
    <row r="1556" spans="2:11" ht="10.8" thickTop="1" x14ac:dyDescent="0.2">
      <c r="J1556" s="6"/>
    </row>
    <row r="1557" spans="2:11" ht="10.8" thickBot="1" x14ac:dyDescent="0.25"/>
    <row r="1558" spans="2:11" ht="10.8" thickTop="1" x14ac:dyDescent="0.2">
      <c r="B1558" s="4"/>
      <c r="C1558" s="4"/>
      <c r="D1558" s="4"/>
      <c r="E1558" s="4"/>
      <c r="F1558" s="4"/>
      <c r="G1558" s="4"/>
      <c r="H1558" s="4"/>
      <c r="I1558" s="5"/>
      <c r="K1558" s="2">
        <f>+K1537+1</f>
        <v>75</v>
      </c>
    </row>
    <row r="1559" spans="2:11" x14ac:dyDescent="0.2">
      <c r="B1559" s="7" t="s">
        <v>0</v>
      </c>
      <c r="C1559" s="8"/>
      <c r="D1559" s="8"/>
      <c r="E1559" s="8"/>
      <c r="F1559" s="8"/>
      <c r="G1559" s="8"/>
      <c r="H1559" s="9"/>
      <c r="I1559" s="10"/>
    </row>
    <row r="1560" spans="2:11" x14ac:dyDescent="0.2">
      <c r="B1560" s="11" t="s">
        <v>1</v>
      </c>
      <c r="C1560" s="12"/>
      <c r="D1560" s="12"/>
      <c r="E1560" s="12"/>
      <c r="F1560" s="12"/>
      <c r="G1560" s="12"/>
      <c r="H1560" s="13"/>
      <c r="I1560" s="10"/>
    </row>
    <row r="1561" spans="2:11" x14ac:dyDescent="0.2">
      <c r="B1561" s="11" t="s">
        <v>2</v>
      </c>
      <c r="C1561" s="12"/>
      <c r="D1561" s="12"/>
      <c r="E1561" s="12"/>
      <c r="F1561" s="12"/>
      <c r="G1561" s="12"/>
      <c r="H1561" s="13"/>
      <c r="I1561" s="10"/>
    </row>
    <row r="1562" spans="2:11" x14ac:dyDescent="0.2">
      <c r="B1562" s="14"/>
      <c r="H1562" s="15"/>
      <c r="I1562" s="10"/>
    </row>
    <row r="1563" spans="2:11" x14ac:dyDescent="0.2">
      <c r="B1563" s="16" t="s">
        <v>3</v>
      </c>
      <c r="C1563" s="17" t="s">
        <v>4</v>
      </c>
      <c r="D1563" s="18"/>
      <c r="E1563" s="18"/>
      <c r="F1563" s="18"/>
      <c r="G1563" s="18"/>
      <c r="H1563" s="19"/>
      <c r="I1563" s="10"/>
    </row>
    <row r="1564" spans="2:11" ht="20.399999999999999" x14ac:dyDescent="0.2">
      <c r="B1564" s="20" t="s">
        <v>5</v>
      </c>
      <c r="C1564" s="21" t="s">
        <v>6</v>
      </c>
      <c r="D1564" s="22"/>
      <c r="E1564" s="22"/>
      <c r="F1564" s="22"/>
      <c r="G1564" s="22"/>
      <c r="H1564" s="23"/>
      <c r="I1564" s="10"/>
    </row>
    <row r="1565" spans="2:11" x14ac:dyDescent="0.2">
      <c r="B1565" s="20" t="s">
        <v>7</v>
      </c>
      <c r="C1565" s="21" t="s">
        <v>8</v>
      </c>
      <c r="D1565" s="22"/>
      <c r="E1565" s="22"/>
      <c r="F1565" s="22"/>
      <c r="G1565" s="22"/>
      <c r="H1565" s="23"/>
      <c r="I1565" s="10"/>
    </row>
    <row r="1566" spans="2:11" x14ac:dyDescent="0.2">
      <c r="B1566" s="20" t="s">
        <v>9</v>
      </c>
      <c r="C1566" s="21" t="s">
        <v>10</v>
      </c>
      <c r="D1566" s="22"/>
      <c r="E1566" s="22"/>
      <c r="F1566" s="22"/>
      <c r="G1566" s="22"/>
      <c r="H1566" s="23"/>
      <c r="I1566" s="10"/>
    </row>
    <row r="1567" spans="2:11" x14ac:dyDescent="0.2">
      <c r="B1567" s="20" t="s">
        <v>11</v>
      </c>
      <c r="C1567" s="24" t="str">
        <f>VLOOKUP(K1558,'[1]FORM XIII'!C$14:P1783,3,0)</f>
        <v>ABHISHEK KUMAR</v>
      </c>
      <c r="D1567" s="25"/>
      <c r="E1567" s="25"/>
      <c r="F1567" s="25"/>
      <c r="G1567" s="25"/>
      <c r="H1567" s="26"/>
      <c r="I1567" s="10"/>
    </row>
    <row r="1568" spans="2:11" x14ac:dyDescent="0.2">
      <c r="B1568" s="20" t="s">
        <v>12</v>
      </c>
      <c r="C1568" s="24">
        <f>VLOOKUP(K1558,'[1]FORM XIII'!C$14:P1783,2,0)</f>
        <v>99136626</v>
      </c>
      <c r="D1568" s="25"/>
      <c r="E1568" s="25"/>
      <c r="F1568" s="25"/>
      <c r="G1568" s="25"/>
      <c r="H1568" s="26"/>
      <c r="I1568" s="10"/>
    </row>
    <row r="1569" spans="2:11" x14ac:dyDescent="0.2">
      <c r="B1569" s="20" t="s">
        <v>13</v>
      </c>
      <c r="C1569" s="24" t="str">
        <f>VLOOKUP(K1558,'[1]FORM XIII'!C$14:P1783,8,0)</f>
        <v>HELPER</v>
      </c>
      <c r="D1569" s="25"/>
      <c r="E1569" s="25"/>
      <c r="F1569" s="25"/>
      <c r="G1569" s="25"/>
      <c r="H1569" s="26"/>
      <c r="I1569" s="10"/>
    </row>
    <row r="1570" spans="2:11" ht="20.399999999999999" x14ac:dyDescent="0.2">
      <c r="B1570" s="20" t="s">
        <v>14</v>
      </c>
      <c r="C1570" s="44" t="s">
        <v>15</v>
      </c>
      <c r="D1570" s="45"/>
      <c r="E1570" s="45"/>
      <c r="F1570" s="45"/>
      <c r="G1570" s="45"/>
      <c r="H1570" s="46"/>
      <c r="I1570" s="10"/>
    </row>
    <row r="1571" spans="2:11" x14ac:dyDescent="0.2">
      <c r="B1571" s="20" t="s">
        <v>16</v>
      </c>
      <c r="C1571" s="44" t="s">
        <v>17</v>
      </c>
      <c r="D1571" s="45"/>
      <c r="E1571" s="45"/>
      <c r="F1571" s="45"/>
      <c r="G1571" s="45"/>
      <c r="H1571" s="46"/>
      <c r="I1571" s="10"/>
    </row>
    <row r="1572" spans="2:11" x14ac:dyDescent="0.2">
      <c r="B1572" s="20" t="s">
        <v>18</v>
      </c>
      <c r="C1572" s="47" t="s">
        <v>19</v>
      </c>
      <c r="D1572" s="22"/>
      <c r="E1572" s="22"/>
      <c r="F1572" s="22"/>
      <c r="G1572" s="22"/>
      <c r="H1572" s="23"/>
      <c r="I1572" s="10"/>
    </row>
    <row r="1573" spans="2:11" x14ac:dyDescent="0.2">
      <c r="B1573" s="30" t="s">
        <v>20</v>
      </c>
      <c r="C1573" s="31"/>
      <c r="D1573" s="32"/>
      <c r="E1573" s="32"/>
      <c r="F1573" s="32"/>
      <c r="G1573" s="32"/>
      <c r="H1573" s="33"/>
      <c r="I1573" s="10"/>
    </row>
    <row r="1574" spans="2:11" x14ac:dyDescent="0.2">
      <c r="B1574" s="34" t="s">
        <v>21</v>
      </c>
      <c r="C1574" s="35"/>
      <c r="D1574" s="35"/>
      <c r="E1574" s="35"/>
      <c r="F1574" s="35"/>
      <c r="G1574" s="35"/>
      <c r="H1574" s="36"/>
      <c r="I1574" s="10"/>
    </row>
    <row r="1575" spans="2:11" x14ac:dyDescent="0.2">
      <c r="B1575" s="37" t="s">
        <v>22</v>
      </c>
      <c r="C1575" s="38" t="s">
        <v>23</v>
      </c>
      <c r="D1575" s="38"/>
      <c r="E1575" s="38"/>
      <c r="F1575" s="38"/>
      <c r="G1575" s="38"/>
      <c r="H1575" s="39"/>
      <c r="I1575" s="10"/>
    </row>
    <row r="1576" spans="2:11" ht="10.8" thickBot="1" x14ac:dyDescent="0.25">
      <c r="B1576" s="40"/>
      <c r="C1576" s="41"/>
      <c r="D1576" s="41"/>
      <c r="E1576" s="41"/>
      <c r="F1576" s="41"/>
      <c r="G1576" s="41"/>
      <c r="H1576" s="41"/>
      <c r="I1576" s="42"/>
    </row>
    <row r="1577" spans="2:11" ht="10.8" thickTop="1" x14ac:dyDescent="0.2"/>
    <row r="1578" spans="2:11" ht="10.8" thickBot="1" x14ac:dyDescent="0.25"/>
    <row r="1579" spans="2:11" ht="10.8" thickTop="1" x14ac:dyDescent="0.2">
      <c r="B1579" s="4"/>
      <c r="C1579" s="4"/>
      <c r="D1579" s="4"/>
      <c r="E1579" s="4"/>
      <c r="F1579" s="4"/>
      <c r="G1579" s="4"/>
      <c r="H1579" s="4"/>
      <c r="I1579" s="5"/>
      <c r="K1579" s="2">
        <f>+K1558+1</f>
        <v>76</v>
      </c>
    </row>
    <row r="1580" spans="2:11" x14ac:dyDescent="0.2">
      <c r="B1580" s="7" t="s">
        <v>0</v>
      </c>
      <c r="C1580" s="8"/>
      <c r="D1580" s="8"/>
      <c r="E1580" s="8"/>
      <c r="F1580" s="8"/>
      <c r="G1580" s="8"/>
      <c r="H1580" s="9"/>
      <c r="I1580" s="10"/>
    </row>
    <row r="1581" spans="2:11" x14ac:dyDescent="0.2">
      <c r="B1581" s="11" t="s">
        <v>1</v>
      </c>
      <c r="C1581" s="12"/>
      <c r="D1581" s="12"/>
      <c r="E1581" s="12"/>
      <c r="F1581" s="12"/>
      <c r="G1581" s="12"/>
      <c r="H1581" s="13"/>
      <c r="I1581" s="10"/>
    </row>
    <row r="1582" spans="2:11" x14ac:dyDescent="0.2">
      <c r="B1582" s="11" t="s">
        <v>2</v>
      </c>
      <c r="C1582" s="12"/>
      <c r="D1582" s="12"/>
      <c r="E1582" s="12"/>
      <c r="F1582" s="12"/>
      <c r="G1582" s="12"/>
      <c r="H1582" s="13"/>
      <c r="I1582" s="10"/>
    </row>
    <row r="1583" spans="2:11" x14ac:dyDescent="0.2">
      <c r="B1583" s="14"/>
      <c r="H1583" s="15"/>
      <c r="I1583" s="10"/>
    </row>
    <row r="1584" spans="2:11" x14ac:dyDescent="0.2">
      <c r="B1584" s="16" t="s">
        <v>3</v>
      </c>
      <c r="C1584" s="17" t="s">
        <v>4</v>
      </c>
      <c r="D1584" s="18"/>
      <c r="E1584" s="18"/>
      <c r="F1584" s="18"/>
      <c r="G1584" s="18"/>
      <c r="H1584" s="19"/>
      <c r="I1584" s="10"/>
    </row>
    <row r="1585" spans="2:11" ht="20.399999999999999" x14ac:dyDescent="0.2">
      <c r="B1585" s="20" t="s">
        <v>5</v>
      </c>
      <c r="C1585" s="21" t="s">
        <v>6</v>
      </c>
      <c r="D1585" s="22"/>
      <c r="E1585" s="22"/>
      <c r="F1585" s="22"/>
      <c r="G1585" s="22"/>
      <c r="H1585" s="23"/>
      <c r="I1585" s="10"/>
    </row>
    <row r="1586" spans="2:11" x14ac:dyDescent="0.2">
      <c r="B1586" s="20" t="s">
        <v>7</v>
      </c>
      <c r="C1586" s="21" t="s">
        <v>8</v>
      </c>
      <c r="D1586" s="22"/>
      <c r="E1586" s="22"/>
      <c r="F1586" s="22"/>
      <c r="G1586" s="22"/>
      <c r="H1586" s="23"/>
      <c r="I1586" s="10"/>
    </row>
    <row r="1587" spans="2:11" x14ac:dyDescent="0.2">
      <c r="B1587" s="20" t="s">
        <v>9</v>
      </c>
      <c r="C1587" s="21" t="s">
        <v>10</v>
      </c>
      <c r="D1587" s="22"/>
      <c r="E1587" s="22"/>
      <c r="F1587" s="22"/>
      <c r="G1587" s="22"/>
      <c r="H1587" s="23"/>
      <c r="I1587" s="10"/>
    </row>
    <row r="1588" spans="2:11" x14ac:dyDescent="0.2">
      <c r="B1588" s="20" t="s">
        <v>11</v>
      </c>
      <c r="C1588" s="24" t="str">
        <f>VLOOKUP(K1579,'[1]FORM XIII'!C$14:P1804,3,0)</f>
        <v>PARSHANT</v>
      </c>
      <c r="D1588" s="25"/>
      <c r="E1588" s="25"/>
      <c r="F1588" s="25"/>
      <c r="G1588" s="25"/>
      <c r="H1588" s="26"/>
      <c r="I1588" s="10"/>
    </row>
    <row r="1589" spans="2:11" x14ac:dyDescent="0.2">
      <c r="B1589" s="20" t="s">
        <v>12</v>
      </c>
      <c r="C1589" s="24">
        <f>VLOOKUP(K1579,'[1]FORM XIII'!C$14:P1804,2,0)</f>
        <v>99136729</v>
      </c>
      <c r="D1589" s="25"/>
      <c r="E1589" s="25"/>
      <c r="F1589" s="25"/>
      <c r="G1589" s="25"/>
      <c r="H1589" s="26"/>
      <c r="I1589" s="10"/>
    </row>
    <row r="1590" spans="2:11" x14ac:dyDescent="0.2">
      <c r="B1590" s="20" t="s">
        <v>13</v>
      </c>
      <c r="C1590" s="24" t="str">
        <f>VLOOKUP(K1579,'[1]FORM XIII'!C$14:P1804,8,0)</f>
        <v>HELPER</v>
      </c>
      <c r="D1590" s="25"/>
      <c r="E1590" s="25"/>
      <c r="F1590" s="25"/>
      <c r="G1590" s="25"/>
      <c r="H1590" s="26"/>
      <c r="I1590" s="10"/>
    </row>
    <row r="1591" spans="2:11" ht="20.399999999999999" x14ac:dyDescent="0.2">
      <c r="B1591" s="20" t="s">
        <v>14</v>
      </c>
      <c r="C1591" s="44" t="s">
        <v>15</v>
      </c>
      <c r="D1591" s="45"/>
      <c r="E1591" s="45"/>
      <c r="F1591" s="45"/>
      <c r="G1591" s="45"/>
      <c r="H1591" s="46"/>
      <c r="I1591" s="10"/>
    </row>
    <row r="1592" spans="2:11" x14ac:dyDescent="0.2">
      <c r="B1592" s="20" t="s">
        <v>16</v>
      </c>
      <c r="C1592" s="44" t="s">
        <v>17</v>
      </c>
      <c r="D1592" s="45"/>
      <c r="E1592" s="45"/>
      <c r="F1592" s="45"/>
      <c r="G1592" s="45"/>
      <c r="H1592" s="46"/>
      <c r="I1592" s="10"/>
    </row>
    <row r="1593" spans="2:11" x14ac:dyDescent="0.2">
      <c r="B1593" s="20" t="s">
        <v>18</v>
      </c>
      <c r="C1593" s="47" t="s">
        <v>19</v>
      </c>
      <c r="D1593" s="22"/>
      <c r="E1593" s="22"/>
      <c r="F1593" s="22"/>
      <c r="G1593" s="22"/>
      <c r="H1593" s="23"/>
      <c r="I1593" s="10"/>
    </row>
    <row r="1594" spans="2:11" x14ac:dyDescent="0.2">
      <c r="B1594" s="30" t="s">
        <v>20</v>
      </c>
      <c r="C1594" s="31"/>
      <c r="D1594" s="32"/>
      <c r="E1594" s="32"/>
      <c r="F1594" s="32"/>
      <c r="G1594" s="32"/>
      <c r="H1594" s="33"/>
      <c r="I1594" s="10"/>
    </row>
    <row r="1595" spans="2:11" x14ac:dyDescent="0.2">
      <c r="B1595" s="34" t="s">
        <v>21</v>
      </c>
      <c r="C1595" s="35"/>
      <c r="D1595" s="35"/>
      <c r="E1595" s="35"/>
      <c r="F1595" s="35"/>
      <c r="G1595" s="35"/>
      <c r="H1595" s="36"/>
      <c r="I1595" s="10"/>
    </row>
    <row r="1596" spans="2:11" x14ac:dyDescent="0.2">
      <c r="B1596" s="37" t="s">
        <v>22</v>
      </c>
      <c r="C1596" s="38" t="s">
        <v>23</v>
      </c>
      <c r="D1596" s="38"/>
      <c r="E1596" s="38"/>
      <c r="F1596" s="38"/>
      <c r="G1596" s="38"/>
      <c r="H1596" s="39"/>
      <c r="I1596" s="10"/>
    </row>
    <row r="1597" spans="2:11" ht="10.8" thickBot="1" x14ac:dyDescent="0.25">
      <c r="B1597" s="40"/>
      <c r="C1597" s="41"/>
      <c r="D1597" s="41"/>
      <c r="E1597" s="41"/>
      <c r="F1597" s="41"/>
      <c r="G1597" s="41"/>
      <c r="H1597" s="41"/>
      <c r="I1597" s="42"/>
    </row>
    <row r="1598" spans="2:11" ht="10.8" thickTop="1" x14ac:dyDescent="0.2"/>
    <row r="1599" spans="2:11" ht="10.8" thickBot="1" x14ac:dyDescent="0.25"/>
    <row r="1600" spans="2:11" ht="10.8" thickTop="1" x14ac:dyDescent="0.2">
      <c r="B1600" s="4"/>
      <c r="C1600" s="4"/>
      <c r="D1600" s="4"/>
      <c r="E1600" s="4"/>
      <c r="F1600" s="4"/>
      <c r="G1600" s="4"/>
      <c r="H1600" s="4"/>
      <c r="I1600" s="5"/>
      <c r="K1600" s="2">
        <f>+K1579+1</f>
        <v>77</v>
      </c>
    </row>
    <row r="1601" spans="2:9" x14ac:dyDescent="0.2">
      <c r="B1601" s="7" t="s">
        <v>0</v>
      </c>
      <c r="C1601" s="8"/>
      <c r="D1601" s="8"/>
      <c r="E1601" s="8"/>
      <c r="F1601" s="8"/>
      <c r="G1601" s="8"/>
      <c r="H1601" s="9"/>
      <c r="I1601" s="10"/>
    </row>
    <row r="1602" spans="2:9" x14ac:dyDescent="0.2">
      <c r="B1602" s="11" t="s">
        <v>1</v>
      </c>
      <c r="C1602" s="12"/>
      <c r="D1602" s="12"/>
      <c r="E1602" s="12"/>
      <c r="F1602" s="12"/>
      <c r="G1602" s="12"/>
      <c r="H1602" s="13"/>
      <c r="I1602" s="10"/>
    </row>
    <row r="1603" spans="2:9" x14ac:dyDescent="0.2">
      <c r="B1603" s="11" t="s">
        <v>2</v>
      </c>
      <c r="C1603" s="12"/>
      <c r="D1603" s="12"/>
      <c r="E1603" s="12"/>
      <c r="F1603" s="12"/>
      <c r="G1603" s="12"/>
      <c r="H1603" s="13"/>
      <c r="I1603" s="10"/>
    </row>
    <row r="1604" spans="2:9" x14ac:dyDescent="0.2">
      <c r="B1604" s="14"/>
      <c r="H1604" s="15"/>
      <c r="I1604" s="10"/>
    </row>
    <row r="1605" spans="2:9" x14ac:dyDescent="0.2">
      <c r="B1605" s="16" t="s">
        <v>3</v>
      </c>
      <c r="C1605" s="17" t="s">
        <v>4</v>
      </c>
      <c r="D1605" s="18"/>
      <c r="E1605" s="18"/>
      <c r="F1605" s="18"/>
      <c r="G1605" s="18"/>
      <c r="H1605" s="19"/>
      <c r="I1605" s="10"/>
    </row>
    <row r="1606" spans="2:9" ht="20.399999999999999" x14ac:dyDescent="0.2">
      <c r="B1606" s="20" t="s">
        <v>5</v>
      </c>
      <c r="C1606" s="21" t="s">
        <v>6</v>
      </c>
      <c r="D1606" s="22"/>
      <c r="E1606" s="22"/>
      <c r="F1606" s="22"/>
      <c r="G1606" s="22"/>
      <c r="H1606" s="23"/>
      <c r="I1606" s="10"/>
    </row>
    <row r="1607" spans="2:9" x14ac:dyDescent="0.2">
      <c r="B1607" s="20" t="s">
        <v>7</v>
      </c>
      <c r="C1607" s="21" t="s">
        <v>8</v>
      </c>
      <c r="D1607" s="22"/>
      <c r="E1607" s="22"/>
      <c r="F1607" s="22"/>
      <c r="G1607" s="22"/>
      <c r="H1607" s="23"/>
      <c r="I1607" s="10"/>
    </row>
    <row r="1608" spans="2:9" x14ac:dyDescent="0.2">
      <c r="B1608" s="20" t="s">
        <v>9</v>
      </c>
      <c r="C1608" s="21" t="s">
        <v>10</v>
      </c>
      <c r="D1608" s="22"/>
      <c r="E1608" s="22"/>
      <c r="F1608" s="22"/>
      <c r="G1608" s="22"/>
      <c r="H1608" s="23"/>
      <c r="I1608" s="10"/>
    </row>
    <row r="1609" spans="2:9" x14ac:dyDescent="0.2">
      <c r="B1609" s="20" t="s">
        <v>11</v>
      </c>
      <c r="C1609" s="24" t="str">
        <f>VLOOKUP(K1600,'[1]FORM XIII'!C$14:P1825,3,0)</f>
        <v>FIDDA HUSSAIN</v>
      </c>
      <c r="D1609" s="25"/>
      <c r="E1609" s="25"/>
      <c r="F1609" s="25"/>
      <c r="G1609" s="25"/>
      <c r="H1609" s="26"/>
      <c r="I1609" s="10"/>
    </row>
    <row r="1610" spans="2:9" x14ac:dyDescent="0.2">
      <c r="B1610" s="20" t="s">
        <v>12</v>
      </c>
      <c r="C1610" s="24">
        <f>VLOOKUP(K1600,'[1]FORM XIII'!C$14:P1825,2,0)</f>
        <v>99124713</v>
      </c>
      <c r="D1610" s="25"/>
      <c r="E1610" s="25"/>
      <c r="F1610" s="25"/>
      <c r="G1610" s="25"/>
      <c r="H1610" s="26"/>
      <c r="I1610" s="10"/>
    </row>
    <row r="1611" spans="2:9" x14ac:dyDescent="0.2">
      <c r="B1611" s="20" t="s">
        <v>13</v>
      </c>
      <c r="C1611" s="24" t="str">
        <f>VLOOKUP(K1600,'[1]FORM XIII'!C$14:P1825,8,0)</f>
        <v>HELPER</v>
      </c>
      <c r="D1611" s="25"/>
      <c r="E1611" s="25"/>
      <c r="F1611" s="25"/>
      <c r="G1611" s="25"/>
      <c r="H1611" s="26"/>
      <c r="I1611" s="10"/>
    </row>
    <row r="1612" spans="2:9" ht="20.399999999999999" x14ac:dyDescent="0.2">
      <c r="B1612" s="20" t="s">
        <v>14</v>
      </c>
      <c r="C1612" s="44" t="s">
        <v>15</v>
      </c>
      <c r="D1612" s="45"/>
      <c r="E1612" s="45"/>
      <c r="F1612" s="45"/>
      <c r="G1612" s="45"/>
      <c r="H1612" s="46"/>
      <c r="I1612" s="10"/>
    </row>
    <row r="1613" spans="2:9" x14ac:dyDescent="0.2">
      <c r="B1613" s="20" t="s">
        <v>16</v>
      </c>
      <c r="C1613" s="44" t="s">
        <v>17</v>
      </c>
      <c r="D1613" s="45"/>
      <c r="E1613" s="45"/>
      <c r="F1613" s="45"/>
      <c r="G1613" s="45"/>
      <c r="H1613" s="46"/>
      <c r="I1613" s="10"/>
    </row>
    <row r="1614" spans="2:9" x14ac:dyDescent="0.2">
      <c r="B1614" s="20" t="s">
        <v>18</v>
      </c>
      <c r="C1614" s="47" t="s">
        <v>19</v>
      </c>
      <c r="D1614" s="22"/>
      <c r="E1614" s="22"/>
      <c r="F1614" s="22"/>
      <c r="G1614" s="22"/>
      <c r="H1614" s="23"/>
      <c r="I1614" s="10"/>
    </row>
    <row r="1615" spans="2:9" x14ac:dyDescent="0.2">
      <c r="B1615" s="30" t="s">
        <v>20</v>
      </c>
      <c r="C1615" s="31"/>
      <c r="D1615" s="32"/>
      <c r="E1615" s="32"/>
      <c r="F1615" s="32"/>
      <c r="G1615" s="32"/>
      <c r="H1615" s="33"/>
      <c r="I1615" s="10"/>
    </row>
    <row r="1616" spans="2:9" x14ac:dyDescent="0.2">
      <c r="B1616" s="34" t="s">
        <v>21</v>
      </c>
      <c r="C1616" s="35"/>
      <c r="D1616" s="35"/>
      <c r="E1616" s="35"/>
      <c r="F1616" s="35"/>
      <c r="G1616" s="35"/>
      <c r="H1616" s="36"/>
      <c r="I1616" s="10"/>
    </row>
    <row r="1617" spans="2:11" x14ac:dyDescent="0.2">
      <c r="B1617" s="37" t="s">
        <v>22</v>
      </c>
      <c r="C1617" s="38" t="s">
        <v>23</v>
      </c>
      <c r="D1617" s="38"/>
      <c r="E1617" s="38"/>
      <c r="F1617" s="38"/>
      <c r="G1617" s="38"/>
      <c r="H1617" s="39"/>
      <c r="I1617" s="10"/>
    </row>
    <row r="1618" spans="2:11" ht="10.8" thickBot="1" x14ac:dyDescent="0.25">
      <c r="B1618" s="40"/>
      <c r="C1618" s="41"/>
      <c r="D1618" s="41"/>
      <c r="E1618" s="41"/>
      <c r="F1618" s="41"/>
      <c r="G1618" s="41"/>
      <c r="H1618" s="41"/>
      <c r="I1618" s="42"/>
    </row>
    <row r="1619" spans="2:11" ht="10.8" thickTop="1" x14ac:dyDescent="0.2"/>
    <row r="1620" spans="2:11" ht="10.8" thickBot="1" x14ac:dyDescent="0.25"/>
    <row r="1621" spans="2:11" ht="10.8" thickTop="1" x14ac:dyDescent="0.2">
      <c r="B1621" s="4"/>
      <c r="C1621" s="4"/>
      <c r="D1621" s="4"/>
      <c r="E1621" s="4"/>
      <c r="F1621" s="4"/>
      <c r="G1621" s="4"/>
      <c r="H1621" s="4"/>
      <c r="I1621" s="5"/>
      <c r="K1621" s="2">
        <f>+K1600+1</f>
        <v>78</v>
      </c>
    </row>
    <row r="1622" spans="2:11" x14ac:dyDescent="0.2">
      <c r="B1622" s="7" t="s">
        <v>0</v>
      </c>
      <c r="C1622" s="8"/>
      <c r="D1622" s="8"/>
      <c r="E1622" s="8"/>
      <c r="F1622" s="8"/>
      <c r="G1622" s="8"/>
      <c r="H1622" s="9"/>
      <c r="I1622" s="10"/>
    </row>
    <row r="1623" spans="2:11" x14ac:dyDescent="0.2">
      <c r="B1623" s="11" t="s">
        <v>1</v>
      </c>
      <c r="C1623" s="12"/>
      <c r="D1623" s="12"/>
      <c r="E1623" s="12"/>
      <c r="F1623" s="12"/>
      <c r="G1623" s="12"/>
      <c r="H1623" s="13"/>
      <c r="I1623" s="10"/>
    </row>
    <row r="1624" spans="2:11" x14ac:dyDescent="0.2">
      <c r="B1624" s="11" t="s">
        <v>2</v>
      </c>
      <c r="C1624" s="12"/>
      <c r="D1624" s="12"/>
      <c r="E1624" s="12"/>
      <c r="F1624" s="12"/>
      <c r="G1624" s="12"/>
      <c r="H1624" s="13"/>
      <c r="I1624" s="10"/>
    </row>
    <row r="1625" spans="2:11" x14ac:dyDescent="0.2">
      <c r="B1625" s="14"/>
      <c r="H1625" s="15"/>
      <c r="I1625" s="10"/>
    </row>
    <row r="1626" spans="2:11" x14ac:dyDescent="0.2">
      <c r="B1626" s="16" t="s">
        <v>3</v>
      </c>
      <c r="C1626" s="17" t="s">
        <v>4</v>
      </c>
      <c r="D1626" s="18"/>
      <c r="E1626" s="18"/>
      <c r="F1626" s="18"/>
      <c r="G1626" s="18"/>
      <c r="H1626" s="19"/>
      <c r="I1626" s="10"/>
    </row>
    <row r="1627" spans="2:11" ht="20.399999999999999" x14ac:dyDescent="0.2">
      <c r="B1627" s="20" t="s">
        <v>5</v>
      </c>
      <c r="C1627" s="21" t="s">
        <v>6</v>
      </c>
      <c r="D1627" s="22"/>
      <c r="E1627" s="22"/>
      <c r="F1627" s="22"/>
      <c r="G1627" s="22"/>
      <c r="H1627" s="23"/>
      <c r="I1627" s="10"/>
    </row>
    <row r="1628" spans="2:11" x14ac:dyDescent="0.2">
      <c r="B1628" s="20" t="s">
        <v>7</v>
      </c>
      <c r="C1628" s="21" t="s">
        <v>8</v>
      </c>
      <c r="D1628" s="22"/>
      <c r="E1628" s="22"/>
      <c r="F1628" s="22"/>
      <c r="G1628" s="22"/>
      <c r="H1628" s="23"/>
      <c r="I1628" s="10"/>
    </row>
    <row r="1629" spans="2:11" x14ac:dyDescent="0.2">
      <c r="B1629" s="20" t="s">
        <v>9</v>
      </c>
      <c r="C1629" s="21" t="s">
        <v>10</v>
      </c>
      <c r="D1629" s="22"/>
      <c r="E1629" s="22"/>
      <c r="F1629" s="22"/>
      <c r="G1629" s="22"/>
      <c r="H1629" s="23"/>
      <c r="I1629" s="10"/>
    </row>
    <row r="1630" spans="2:11" x14ac:dyDescent="0.2">
      <c r="B1630" s="20" t="s">
        <v>11</v>
      </c>
      <c r="C1630" s="24" t="str">
        <f>VLOOKUP(K1621,'[1]FORM XIII'!C$14:P1846,3,0)</f>
        <v>SANJU</v>
      </c>
      <c r="D1630" s="25"/>
      <c r="E1630" s="25"/>
      <c r="F1630" s="25"/>
      <c r="G1630" s="25"/>
      <c r="H1630" s="26"/>
      <c r="I1630" s="10"/>
    </row>
    <row r="1631" spans="2:11" x14ac:dyDescent="0.2">
      <c r="B1631" s="20" t="s">
        <v>12</v>
      </c>
      <c r="C1631" s="24">
        <f>VLOOKUP(K1621,'[1]FORM XIII'!C$14:P1846,2,0)</f>
        <v>72232107</v>
      </c>
      <c r="D1631" s="25"/>
      <c r="E1631" s="25"/>
      <c r="F1631" s="25"/>
      <c r="G1631" s="25"/>
      <c r="H1631" s="26"/>
      <c r="I1631" s="10"/>
    </row>
    <row r="1632" spans="2:11" x14ac:dyDescent="0.2">
      <c r="B1632" s="20" t="s">
        <v>13</v>
      </c>
      <c r="C1632" s="24" t="str">
        <f>VLOOKUP(K1621,'[1]FORM XIII'!C$14:P1846,8,0)</f>
        <v>HELPER</v>
      </c>
      <c r="D1632" s="25"/>
      <c r="E1632" s="25"/>
      <c r="F1632" s="25"/>
      <c r="G1632" s="25"/>
      <c r="H1632" s="26"/>
      <c r="I1632" s="10"/>
    </row>
    <row r="1633" spans="2:11" ht="20.399999999999999" x14ac:dyDescent="0.2">
      <c r="B1633" s="20" t="s">
        <v>14</v>
      </c>
      <c r="C1633" s="44" t="s">
        <v>15</v>
      </c>
      <c r="D1633" s="45"/>
      <c r="E1633" s="45"/>
      <c r="F1633" s="45"/>
      <c r="G1633" s="45"/>
      <c r="H1633" s="46"/>
      <c r="I1633" s="10"/>
    </row>
    <row r="1634" spans="2:11" x14ac:dyDescent="0.2">
      <c r="B1634" s="20" t="s">
        <v>16</v>
      </c>
      <c r="C1634" s="44" t="s">
        <v>17</v>
      </c>
      <c r="D1634" s="45"/>
      <c r="E1634" s="45"/>
      <c r="F1634" s="45"/>
      <c r="G1634" s="45"/>
      <c r="H1634" s="46"/>
      <c r="I1634" s="10"/>
    </row>
    <row r="1635" spans="2:11" x14ac:dyDescent="0.2">
      <c r="B1635" s="20" t="s">
        <v>18</v>
      </c>
      <c r="C1635" s="47" t="s">
        <v>19</v>
      </c>
      <c r="D1635" s="22"/>
      <c r="E1635" s="22"/>
      <c r="F1635" s="22"/>
      <c r="G1635" s="22"/>
      <c r="H1635" s="23"/>
      <c r="I1635" s="10"/>
    </row>
    <row r="1636" spans="2:11" x14ac:dyDescent="0.2">
      <c r="B1636" s="30" t="s">
        <v>20</v>
      </c>
      <c r="C1636" s="31"/>
      <c r="D1636" s="32"/>
      <c r="E1636" s="32"/>
      <c r="F1636" s="32"/>
      <c r="G1636" s="32"/>
      <c r="H1636" s="33"/>
      <c r="I1636" s="10"/>
    </row>
    <row r="1637" spans="2:11" x14ac:dyDescent="0.2">
      <c r="B1637" s="34" t="s">
        <v>21</v>
      </c>
      <c r="C1637" s="35"/>
      <c r="D1637" s="35"/>
      <c r="E1637" s="35"/>
      <c r="F1637" s="35"/>
      <c r="G1637" s="35"/>
      <c r="H1637" s="36"/>
      <c r="I1637" s="10"/>
    </row>
    <row r="1638" spans="2:11" x14ac:dyDescent="0.2">
      <c r="B1638" s="37" t="s">
        <v>22</v>
      </c>
      <c r="C1638" s="38" t="s">
        <v>23</v>
      </c>
      <c r="D1638" s="38"/>
      <c r="E1638" s="38"/>
      <c r="F1638" s="38"/>
      <c r="G1638" s="38"/>
      <c r="H1638" s="39"/>
      <c r="I1638" s="10"/>
    </row>
    <row r="1639" spans="2:11" ht="10.8" thickBot="1" x14ac:dyDescent="0.25">
      <c r="B1639" s="40"/>
      <c r="C1639" s="41"/>
      <c r="D1639" s="41"/>
      <c r="E1639" s="41"/>
      <c r="F1639" s="41"/>
      <c r="G1639" s="41"/>
      <c r="H1639" s="41"/>
      <c r="I1639" s="42"/>
    </row>
    <row r="1640" spans="2:11" ht="10.8" thickTop="1" x14ac:dyDescent="0.2"/>
    <row r="1641" spans="2:11" ht="10.8" thickBot="1" x14ac:dyDescent="0.25"/>
    <row r="1642" spans="2:11" ht="10.8" thickTop="1" x14ac:dyDescent="0.2">
      <c r="B1642" s="4"/>
      <c r="C1642" s="4"/>
      <c r="D1642" s="4"/>
      <c r="E1642" s="4"/>
      <c r="F1642" s="4"/>
      <c r="G1642" s="4"/>
      <c r="H1642" s="4"/>
      <c r="I1642" s="5"/>
      <c r="K1642" s="2">
        <f>+K1621+1</f>
        <v>79</v>
      </c>
    </row>
    <row r="1643" spans="2:11" x14ac:dyDescent="0.2">
      <c r="B1643" s="7" t="s">
        <v>0</v>
      </c>
      <c r="C1643" s="8"/>
      <c r="D1643" s="8"/>
      <c r="E1643" s="8"/>
      <c r="F1643" s="8"/>
      <c r="G1643" s="8"/>
      <c r="H1643" s="9"/>
      <c r="I1643" s="10"/>
    </row>
    <row r="1644" spans="2:11" x14ac:dyDescent="0.2">
      <c r="B1644" s="11" t="s">
        <v>1</v>
      </c>
      <c r="C1644" s="12"/>
      <c r="D1644" s="12"/>
      <c r="E1644" s="12"/>
      <c r="F1644" s="12"/>
      <c r="G1644" s="12"/>
      <c r="H1644" s="13"/>
      <c r="I1644" s="10"/>
    </row>
    <row r="1645" spans="2:11" x14ac:dyDescent="0.2">
      <c r="B1645" s="11" t="s">
        <v>2</v>
      </c>
      <c r="C1645" s="12"/>
      <c r="D1645" s="12"/>
      <c r="E1645" s="12"/>
      <c r="F1645" s="12"/>
      <c r="G1645" s="12"/>
      <c r="H1645" s="13"/>
      <c r="I1645" s="10"/>
    </row>
    <row r="1646" spans="2:11" x14ac:dyDescent="0.2">
      <c r="B1646" s="14"/>
      <c r="H1646" s="15"/>
      <c r="I1646" s="10"/>
    </row>
    <row r="1647" spans="2:11" x14ac:dyDescent="0.2">
      <c r="B1647" s="16" t="s">
        <v>3</v>
      </c>
      <c r="C1647" s="17" t="s">
        <v>4</v>
      </c>
      <c r="D1647" s="18"/>
      <c r="E1647" s="18"/>
      <c r="F1647" s="18"/>
      <c r="G1647" s="18"/>
      <c r="H1647" s="19"/>
      <c r="I1647" s="10"/>
    </row>
    <row r="1648" spans="2:11" ht="20.399999999999999" x14ac:dyDescent="0.2">
      <c r="B1648" s="20" t="s">
        <v>5</v>
      </c>
      <c r="C1648" s="21" t="s">
        <v>6</v>
      </c>
      <c r="D1648" s="22"/>
      <c r="E1648" s="22"/>
      <c r="F1648" s="22"/>
      <c r="G1648" s="22"/>
      <c r="H1648" s="23"/>
      <c r="I1648" s="10"/>
    </row>
    <row r="1649" spans="2:11" x14ac:dyDescent="0.2">
      <c r="B1649" s="20" t="s">
        <v>7</v>
      </c>
      <c r="C1649" s="21" t="s">
        <v>8</v>
      </c>
      <c r="D1649" s="22"/>
      <c r="E1649" s="22"/>
      <c r="F1649" s="22"/>
      <c r="G1649" s="22"/>
      <c r="H1649" s="23"/>
      <c r="I1649" s="10"/>
    </row>
    <row r="1650" spans="2:11" x14ac:dyDescent="0.2">
      <c r="B1650" s="20" t="s">
        <v>9</v>
      </c>
      <c r="C1650" s="21" t="s">
        <v>10</v>
      </c>
      <c r="D1650" s="22"/>
      <c r="E1650" s="22"/>
      <c r="F1650" s="22"/>
      <c r="G1650" s="22"/>
      <c r="H1650" s="23"/>
      <c r="I1650" s="10"/>
    </row>
    <row r="1651" spans="2:11" x14ac:dyDescent="0.2">
      <c r="B1651" s="20" t="s">
        <v>11</v>
      </c>
      <c r="C1651" s="24" t="str">
        <f>VLOOKUP(K1642,'[1]FORM XIII'!C$14:P1867,3,0)</f>
        <v>ROHIT KUMAR</v>
      </c>
      <c r="D1651" s="25"/>
      <c r="E1651" s="25"/>
      <c r="F1651" s="25"/>
      <c r="G1651" s="25"/>
      <c r="H1651" s="26"/>
      <c r="I1651" s="10"/>
    </row>
    <row r="1652" spans="2:11" x14ac:dyDescent="0.2">
      <c r="B1652" s="20" t="s">
        <v>12</v>
      </c>
      <c r="C1652" s="24">
        <f>VLOOKUP(K1642,'[1]FORM XIII'!C$14:P1867,2,0)</f>
        <v>99134082</v>
      </c>
      <c r="D1652" s="25"/>
      <c r="E1652" s="25"/>
      <c r="F1652" s="25"/>
      <c r="G1652" s="25"/>
      <c r="H1652" s="26"/>
      <c r="I1652" s="10"/>
    </row>
    <row r="1653" spans="2:11" x14ac:dyDescent="0.2">
      <c r="B1653" s="20" t="s">
        <v>13</v>
      </c>
      <c r="C1653" s="24" t="str">
        <f>VLOOKUP(K1642,'[1]FORM XIII'!C$14:P1867,8,0)</f>
        <v>HELPER</v>
      </c>
      <c r="D1653" s="25"/>
      <c r="E1653" s="25"/>
      <c r="F1653" s="25"/>
      <c r="G1653" s="25"/>
      <c r="H1653" s="26"/>
      <c r="I1653" s="10"/>
    </row>
    <row r="1654" spans="2:11" ht="20.399999999999999" x14ac:dyDescent="0.2">
      <c r="B1654" s="20" t="s">
        <v>14</v>
      </c>
      <c r="C1654" s="44" t="s">
        <v>15</v>
      </c>
      <c r="D1654" s="45"/>
      <c r="E1654" s="45"/>
      <c r="F1654" s="45"/>
      <c r="G1654" s="45"/>
      <c r="H1654" s="46"/>
      <c r="I1654" s="10"/>
    </row>
    <row r="1655" spans="2:11" x14ac:dyDescent="0.2">
      <c r="B1655" s="20" t="s">
        <v>16</v>
      </c>
      <c r="C1655" s="44" t="s">
        <v>17</v>
      </c>
      <c r="D1655" s="45"/>
      <c r="E1655" s="45"/>
      <c r="F1655" s="45"/>
      <c r="G1655" s="45"/>
      <c r="H1655" s="46"/>
      <c r="I1655" s="10"/>
    </row>
    <row r="1656" spans="2:11" x14ac:dyDescent="0.2">
      <c r="B1656" s="20" t="s">
        <v>18</v>
      </c>
      <c r="C1656" s="47" t="s">
        <v>19</v>
      </c>
      <c r="D1656" s="22"/>
      <c r="E1656" s="22"/>
      <c r="F1656" s="22"/>
      <c r="G1656" s="22"/>
      <c r="H1656" s="23"/>
      <c r="I1656" s="10"/>
    </row>
    <row r="1657" spans="2:11" x14ac:dyDescent="0.2">
      <c r="B1657" s="30" t="s">
        <v>20</v>
      </c>
      <c r="C1657" s="31"/>
      <c r="D1657" s="32"/>
      <c r="E1657" s="32"/>
      <c r="F1657" s="32"/>
      <c r="G1657" s="32"/>
      <c r="H1657" s="33"/>
      <c r="I1657" s="10"/>
    </row>
    <row r="1658" spans="2:11" x14ac:dyDescent="0.2">
      <c r="B1658" s="34" t="s">
        <v>21</v>
      </c>
      <c r="C1658" s="35"/>
      <c r="D1658" s="35"/>
      <c r="E1658" s="35"/>
      <c r="F1658" s="35"/>
      <c r="G1658" s="35"/>
      <c r="H1658" s="36"/>
      <c r="I1658" s="10"/>
    </row>
    <row r="1659" spans="2:11" x14ac:dyDescent="0.2">
      <c r="B1659" s="37" t="s">
        <v>22</v>
      </c>
      <c r="C1659" s="38" t="s">
        <v>23</v>
      </c>
      <c r="D1659" s="38"/>
      <c r="E1659" s="38"/>
      <c r="F1659" s="38"/>
      <c r="G1659" s="38"/>
      <c r="H1659" s="39"/>
      <c r="I1659" s="10"/>
    </row>
    <row r="1660" spans="2:11" ht="10.8" thickBot="1" x14ac:dyDescent="0.25">
      <c r="B1660" s="40"/>
      <c r="C1660" s="41"/>
      <c r="D1660" s="41"/>
      <c r="E1660" s="41"/>
      <c r="F1660" s="41"/>
      <c r="G1660" s="41"/>
      <c r="H1660" s="41"/>
      <c r="I1660" s="42"/>
    </row>
    <row r="1661" spans="2:11" ht="10.8" thickTop="1" x14ac:dyDescent="0.2"/>
    <row r="1662" spans="2:11" ht="10.8" thickBot="1" x14ac:dyDescent="0.25"/>
    <row r="1663" spans="2:11" ht="10.8" thickTop="1" x14ac:dyDescent="0.2">
      <c r="B1663" s="4"/>
      <c r="C1663" s="4"/>
      <c r="D1663" s="4"/>
      <c r="E1663" s="4"/>
      <c r="F1663" s="4"/>
      <c r="G1663" s="4"/>
      <c r="H1663" s="4"/>
      <c r="I1663" s="5"/>
      <c r="K1663" s="2">
        <f>+K1642+1</f>
        <v>80</v>
      </c>
    </row>
    <row r="1664" spans="2:11" x14ac:dyDescent="0.2">
      <c r="B1664" s="7" t="s">
        <v>0</v>
      </c>
      <c r="C1664" s="8"/>
      <c r="D1664" s="8"/>
      <c r="E1664" s="8"/>
      <c r="F1664" s="8"/>
      <c r="G1664" s="8"/>
      <c r="H1664" s="9"/>
      <c r="I1664" s="10"/>
    </row>
    <row r="1665" spans="2:9" x14ac:dyDescent="0.2">
      <c r="B1665" s="11" t="s">
        <v>1</v>
      </c>
      <c r="C1665" s="12"/>
      <c r="D1665" s="12"/>
      <c r="E1665" s="12"/>
      <c r="F1665" s="12"/>
      <c r="G1665" s="12"/>
      <c r="H1665" s="13"/>
      <c r="I1665" s="10"/>
    </row>
    <row r="1666" spans="2:9" x14ac:dyDescent="0.2">
      <c r="B1666" s="11" t="s">
        <v>2</v>
      </c>
      <c r="C1666" s="12"/>
      <c r="D1666" s="12"/>
      <c r="E1666" s="12"/>
      <c r="F1666" s="12"/>
      <c r="G1666" s="12"/>
      <c r="H1666" s="13"/>
      <c r="I1666" s="10"/>
    </row>
    <row r="1667" spans="2:9" x14ac:dyDescent="0.2">
      <c r="B1667" s="14"/>
      <c r="H1667" s="15"/>
      <c r="I1667" s="10"/>
    </row>
    <row r="1668" spans="2:9" x14ac:dyDescent="0.2">
      <c r="B1668" s="16" t="s">
        <v>3</v>
      </c>
      <c r="C1668" s="17" t="s">
        <v>4</v>
      </c>
      <c r="D1668" s="18"/>
      <c r="E1668" s="18"/>
      <c r="F1668" s="18"/>
      <c r="G1668" s="18"/>
      <c r="H1668" s="19"/>
      <c r="I1668" s="10"/>
    </row>
    <row r="1669" spans="2:9" ht="20.399999999999999" x14ac:dyDescent="0.2">
      <c r="B1669" s="20" t="s">
        <v>5</v>
      </c>
      <c r="C1669" s="21" t="s">
        <v>6</v>
      </c>
      <c r="D1669" s="22"/>
      <c r="E1669" s="22"/>
      <c r="F1669" s="22"/>
      <c r="G1669" s="22"/>
      <c r="H1669" s="23"/>
      <c r="I1669" s="10"/>
    </row>
    <row r="1670" spans="2:9" x14ac:dyDescent="0.2">
      <c r="B1670" s="20" t="s">
        <v>7</v>
      </c>
      <c r="C1670" s="21" t="s">
        <v>8</v>
      </c>
      <c r="D1670" s="22"/>
      <c r="E1670" s="22"/>
      <c r="F1670" s="22"/>
      <c r="G1670" s="22"/>
      <c r="H1670" s="23"/>
      <c r="I1670" s="10"/>
    </row>
    <row r="1671" spans="2:9" x14ac:dyDescent="0.2">
      <c r="B1671" s="20" t="s">
        <v>9</v>
      </c>
      <c r="C1671" s="21" t="s">
        <v>10</v>
      </c>
      <c r="D1671" s="22"/>
      <c r="E1671" s="22"/>
      <c r="F1671" s="22"/>
      <c r="G1671" s="22"/>
      <c r="H1671" s="23"/>
      <c r="I1671" s="10"/>
    </row>
    <row r="1672" spans="2:9" x14ac:dyDescent="0.2">
      <c r="B1672" s="20" t="s">
        <v>11</v>
      </c>
      <c r="C1672" s="24" t="str">
        <f>VLOOKUP(K1663,'[1]FORM XIII'!C$14:P1888,3,0)</f>
        <v>BHOPINDRA</v>
      </c>
      <c r="D1672" s="25"/>
      <c r="E1672" s="25"/>
      <c r="F1672" s="25"/>
      <c r="G1672" s="25"/>
      <c r="H1672" s="26"/>
      <c r="I1672" s="10"/>
    </row>
    <row r="1673" spans="2:9" x14ac:dyDescent="0.2">
      <c r="B1673" s="20" t="s">
        <v>12</v>
      </c>
      <c r="C1673" s="24">
        <f>VLOOKUP(K1663,'[1]FORM XIII'!C$14:P1888,2,0)</f>
        <v>99136892</v>
      </c>
      <c r="D1673" s="25"/>
      <c r="E1673" s="25"/>
      <c r="F1673" s="25"/>
      <c r="G1673" s="25"/>
      <c r="H1673" s="26"/>
      <c r="I1673" s="10"/>
    </row>
    <row r="1674" spans="2:9" x14ac:dyDescent="0.2">
      <c r="B1674" s="20" t="s">
        <v>13</v>
      </c>
      <c r="C1674" s="24" t="str">
        <f>VLOOKUP(K1663,'[1]FORM XIII'!C$14:P1888,8,0)</f>
        <v>HELPER</v>
      </c>
      <c r="D1674" s="25"/>
      <c r="E1674" s="25"/>
      <c r="F1674" s="25"/>
      <c r="G1674" s="25"/>
      <c r="H1674" s="26"/>
      <c r="I1674" s="10"/>
    </row>
    <row r="1675" spans="2:9" ht="20.399999999999999" x14ac:dyDescent="0.2">
      <c r="B1675" s="20" t="s">
        <v>14</v>
      </c>
      <c r="C1675" s="44" t="s">
        <v>15</v>
      </c>
      <c r="D1675" s="45"/>
      <c r="E1675" s="45"/>
      <c r="F1675" s="45"/>
      <c r="G1675" s="45"/>
      <c r="H1675" s="46"/>
      <c r="I1675" s="10"/>
    </row>
    <row r="1676" spans="2:9" x14ac:dyDescent="0.2">
      <c r="B1676" s="20" t="s">
        <v>16</v>
      </c>
      <c r="C1676" s="44" t="s">
        <v>17</v>
      </c>
      <c r="D1676" s="45"/>
      <c r="E1676" s="45"/>
      <c r="F1676" s="45"/>
      <c r="G1676" s="45"/>
      <c r="H1676" s="46"/>
      <c r="I1676" s="10"/>
    </row>
    <row r="1677" spans="2:9" x14ac:dyDescent="0.2">
      <c r="B1677" s="20" t="s">
        <v>18</v>
      </c>
      <c r="C1677" s="47" t="s">
        <v>19</v>
      </c>
      <c r="D1677" s="22"/>
      <c r="E1677" s="22"/>
      <c r="F1677" s="22"/>
      <c r="G1677" s="22"/>
      <c r="H1677" s="23"/>
      <c r="I1677" s="10"/>
    </row>
    <row r="1678" spans="2:9" x14ac:dyDescent="0.2">
      <c r="B1678" s="30" t="s">
        <v>20</v>
      </c>
      <c r="C1678" s="31"/>
      <c r="D1678" s="32"/>
      <c r="E1678" s="32"/>
      <c r="F1678" s="32"/>
      <c r="G1678" s="32"/>
      <c r="H1678" s="33"/>
      <c r="I1678" s="10"/>
    </row>
    <row r="1679" spans="2:9" x14ac:dyDescent="0.2">
      <c r="B1679" s="34" t="s">
        <v>21</v>
      </c>
      <c r="C1679" s="35"/>
      <c r="D1679" s="35"/>
      <c r="E1679" s="35"/>
      <c r="F1679" s="35"/>
      <c r="G1679" s="35"/>
      <c r="H1679" s="36"/>
      <c r="I1679" s="10"/>
    </row>
    <row r="1680" spans="2:9" x14ac:dyDescent="0.2">
      <c r="B1680" s="37" t="s">
        <v>22</v>
      </c>
      <c r="C1680" s="38" t="s">
        <v>23</v>
      </c>
      <c r="D1680" s="38"/>
      <c r="E1680" s="38"/>
      <c r="F1680" s="38"/>
      <c r="G1680" s="38"/>
      <c r="H1680" s="39"/>
      <c r="I1680" s="10"/>
    </row>
    <row r="1681" spans="2:11" ht="10.8" thickBot="1" x14ac:dyDescent="0.25">
      <c r="B1681" s="40"/>
      <c r="C1681" s="41"/>
      <c r="D1681" s="41"/>
      <c r="E1681" s="41"/>
      <c r="F1681" s="41"/>
      <c r="G1681" s="41"/>
      <c r="H1681" s="41"/>
      <c r="I1681" s="42"/>
    </row>
    <row r="1682" spans="2:11" ht="10.8" thickTop="1" x14ac:dyDescent="0.2"/>
    <row r="1683" spans="2:11" ht="10.8" thickBot="1" x14ac:dyDescent="0.25"/>
    <row r="1684" spans="2:11" ht="10.8" thickTop="1" x14ac:dyDescent="0.2">
      <c r="B1684" s="4"/>
      <c r="C1684" s="4"/>
      <c r="D1684" s="4"/>
      <c r="E1684" s="4"/>
      <c r="F1684" s="4"/>
      <c r="G1684" s="4"/>
      <c r="H1684" s="4"/>
      <c r="I1684" s="5"/>
      <c r="K1684" s="2">
        <f>+K1663+1</f>
        <v>81</v>
      </c>
    </row>
    <row r="1685" spans="2:11" x14ac:dyDescent="0.2">
      <c r="B1685" s="7" t="s">
        <v>0</v>
      </c>
      <c r="C1685" s="8"/>
      <c r="D1685" s="8"/>
      <c r="E1685" s="8"/>
      <c r="F1685" s="8"/>
      <c r="G1685" s="8"/>
      <c r="H1685" s="9"/>
      <c r="I1685" s="10"/>
    </row>
    <row r="1686" spans="2:11" x14ac:dyDescent="0.2">
      <c r="B1686" s="11" t="s">
        <v>1</v>
      </c>
      <c r="C1686" s="12"/>
      <c r="D1686" s="12"/>
      <c r="E1686" s="12"/>
      <c r="F1686" s="12"/>
      <c r="G1686" s="12"/>
      <c r="H1686" s="13"/>
      <c r="I1686" s="10"/>
    </row>
    <row r="1687" spans="2:11" x14ac:dyDescent="0.2">
      <c r="B1687" s="11" t="s">
        <v>2</v>
      </c>
      <c r="C1687" s="12"/>
      <c r="D1687" s="12"/>
      <c r="E1687" s="12"/>
      <c r="F1687" s="12"/>
      <c r="G1687" s="12"/>
      <c r="H1687" s="13"/>
      <c r="I1687" s="10"/>
    </row>
    <row r="1688" spans="2:11" x14ac:dyDescent="0.2">
      <c r="B1688" s="14"/>
      <c r="H1688" s="15"/>
      <c r="I1688" s="10"/>
    </row>
    <row r="1689" spans="2:11" x14ac:dyDescent="0.2">
      <c r="B1689" s="16" t="s">
        <v>3</v>
      </c>
      <c r="C1689" s="17" t="s">
        <v>4</v>
      </c>
      <c r="D1689" s="18"/>
      <c r="E1689" s="18"/>
      <c r="F1689" s="18"/>
      <c r="G1689" s="18"/>
      <c r="H1689" s="19"/>
      <c r="I1689" s="10"/>
    </row>
    <row r="1690" spans="2:11" ht="20.399999999999999" x14ac:dyDescent="0.2">
      <c r="B1690" s="20" t="s">
        <v>5</v>
      </c>
      <c r="C1690" s="21" t="s">
        <v>6</v>
      </c>
      <c r="D1690" s="22"/>
      <c r="E1690" s="22"/>
      <c r="F1690" s="22"/>
      <c r="G1690" s="22"/>
      <c r="H1690" s="23"/>
      <c r="I1690" s="10"/>
    </row>
    <row r="1691" spans="2:11" x14ac:dyDescent="0.2">
      <c r="B1691" s="20" t="s">
        <v>7</v>
      </c>
      <c r="C1691" s="21" t="s">
        <v>8</v>
      </c>
      <c r="D1691" s="22"/>
      <c r="E1691" s="22"/>
      <c r="F1691" s="22"/>
      <c r="G1691" s="22"/>
      <c r="H1691" s="23"/>
      <c r="I1691" s="10"/>
    </row>
    <row r="1692" spans="2:11" x14ac:dyDescent="0.2">
      <c r="B1692" s="20" t="s">
        <v>9</v>
      </c>
      <c r="C1692" s="21" t="s">
        <v>10</v>
      </c>
      <c r="D1692" s="22"/>
      <c r="E1692" s="22"/>
      <c r="F1692" s="22"/>
      <c r="G1692" s="22"/>
      <c r="H1692" s="23"/>
      <c r="I1692" s="10"/>
    </row>
    <row r="1693" spans="2:11" x14ac:dyDescent="0.2">
      <c r="B1693" s="20" t="s">
        <v>11</v>
      </c>
      <c r="C1693" s="24" t="str">
        <f>VLOOKUP(K1684,'[1]FORM XIII'!C$14:P1909,3,0)</f>
        <v>VASEEM</v>
      </c>
      <c r="D1693" s="25"/>
      <c r="E1693" s="25"/>
      <c r="F1693" s="25"/>
      <c r="G1693" s="25"/>
      <c r="H1693" s="26"/>
      <c r="I1693" s="10"/>
    </row>
    <row r="1694" spans="2:11" x14ac:dyDescent="0.2">
      <c r="B1694" s="20" t="s">
        <v>12</v>
      </c>
      <c r="C1694" s="24">
        <f>VLOOKUP(K1684,'[1]FORM XIII'!C$14:P1909,2,0)</f>
        <v>99134846</v>
      </c>
      <c r="D1694" s="25"/>
      <c r="E1694" s="25"/>
      <c r="F1694" s="25"/>
      <c r="G1694" s="25"/>
      <c r="H1694" s="26"/>
      <c r="I1694" s="10"/>
    </row>
    <row r="1695" spans="2:11" x14ac:dyDescent="0.2">
      <c r="B1695" s="20" t="s">
        <v>13</v>
      </c>
      <c r="C1695" s="24" t="str">
        <f>VLOOKUP(K1684,'[1]FORM XIII'!C$14:P1909,8,0)</f>
        <v>HELPER</v>
      </c>
      <c r="D1695" s="25"/>
      <c r="E1695" s="25"/>
      <c r="F1695" s="25"/>
      <c r="G1695" s="25"/>
      <c r="H1695" s="26"/>
      <c r="I1695" s="10"/>
    </row>
    <row r="1696" spans="2:11" ht="20.399999999999999" x14ac:dyDescent="0.2">
      <c r="B1696" s="20" t="s">
        <v>14</v>
      </c>
      <c r="C1696" s="44" t="s">
        <v>15</v>
      </c>
      <c r="D1696" s="45"/>
      <c r="E1696" s="45"/>
      <c r="F1696" s="45"/>
      <c r="G1696" s="45"/>
      <c r="H1696" s="46"/>
      <c r="I1696" s="10"/>
    </row>
    <row r="1697" spans="2:11" x14ac:dyDescent="0.2">
      <c r="B1697" s="20" t="s">
        <v>16</v>
      </c>
      <c r="C1697" s="44" t="s">
        <v>17</v>
      </c>
      <c r="D1697" s="45"/>
      <c r="E1697" s="45"/>
      <c r="F1697" s="45"/>
      <c r="G1697" s="45"/>
      <c r="H1697" s="46"/>
      <c r="I1697" s="10"/>
    </row>
    <row r="1698" spans="2:11" x14ac:dyDescent="0.2">
      <c r="B1698" s="20" t="s">
        <v>18</v>
      </c>
      <c r="C1698" s="47" t="s">
        <v>19</v>
      </c>
      <c r="D1698" s="22"/>
      <c r="E1698" s="22"/>
      <c r="F1698" s="22"/>
      <c r="G1698" s="22"/>
      <c r="H1698" s="23"/>
      <c r="I1698" s="10"/>
    </row>
    <row r="1699" spans="2:11" x14ac:dyDescent="0.2">
      <c r="B1699" s="30" t="s">
        <v>20</v>
      </c>
      <c r="C1699" s="31"/>
      <c r="D1699" s="32"/>
      <c r="E1699" s="32"/>
      <c r="F1699" s="32"/>
      <c r="G1699" s="32"/>
      <c r="H1699" s="33"/>
      <c r="I1699" s="10"/>
    </row>
    <row r="1700" spans="2:11" x14ac:dyDescent="0.2">
      <c r="B1700" s="34" t="s">
        <v>21</v>
      </c>
      <c r="C1700" s="35"/>
      <c r="D1700" s="35"/>
      <c r="E1700" s="35"/>
      <c r="F1700" s="35"/>
      <c r="G1700" s="35"/>
      <c r="H1700" s="36"/>
      <c r="I1700" s="10"/>
    </row>
    <row r="1701" spans="2:11" x14ac:dyDescent="0.2">
      <c r="B1701" s="37" t="s">
        <v>22</v>
      </c>
      <c r="C1701" s="38" t="s">
        <v>23</v>
      </c>
      <c r="D1701" s="38"/>
      <c r="E1701" s="38"/>
      <c r="F1701" s="38"/>
      <c r="G1701" s="38"/>
      <c r="H1701" s="39"/>
      <c r="I1701" s="10"/>
    </row>
    <row r="1702" spans="2:11" ht="10.8" thickBot="1" x14ac:dyDescent="0.25">
      <c r="B1702" s="40"/>
      <c r="C1702" s="41"/>
      <c r="D1702" s="41"/>
      <c r="E1702" s="41"/>
      <c r="F1702" s="41"/>
      <c r="G1702" s="41"/>
      <c r="H1702" s="41"/>
      <c r="I1702" s="42"/>
    </row>
    <row r="1703" spans="2:11" ht="10.8" thickTop="1" x14ac:dyDescent="0.2"/>
    <row r="1704" spans="2:11" ht="10.8" thickBot="1" x14ac:dyDescent="0.25"/>
    <row r="1705" spans="2:11" ht="10.8" thickTop="1" x14ac:dyDescent="0.2">
      <c r="B1705" s="4"/>
      <c r="C1705" s="4"/>
      <c r="D1705" s="4"/>
      <c r="E1705" s="4"/>
      <c r="F1705" s="4"/>
      <c r="G1705" s="4"/>
      <c r="H1705" s="4"/>
      <c r="I1705" s="5"/>
      <c r="K1705" s="2">
        <f>+K1684+1</f>
        <v>82</v>
      </c>
    </row>
    <row r="1706" spans="2:11" x14ac:dyDescent="0.2">
      <c r="B1706" s="7" t="s">
        <v>0</v>
      </c>
      <c r="C1706" s="8"/>
      <c r="D1706" s="8"/>
      <c r="E1706" s="8"/>
      <c r="F1706" s="8"/>
      <c r="G1706" s="8"/>
      <c r="H1706" s="9"/>
      <c r="I1706" s="10"/>
    </row>
    <row r="1707" spans="2:11" x14ac:dyDescent="0.2">
      <c r="B1707" s="11" t="s">
        <v>1</v>
      </c>
      <c r="C1707" s="12"/>
      <c r="D1707" s="12"/>
      <c r="E1707" s="12"/>
      <c r="F1707" s="12"/>
      <c r="G1707" s="12"/>
      <c r="H1707" s="13"/>
      <c r="I1707" s="10"/>
    </row>
    <row r="1708" spans="2:11" x14ac:dyDescent="0.2">
      <c r="B1708" s="11" t="s">
        <v>2</v>
      </c>
      <c r="C1708" s="12"/>
      <c r="D1708" s="12"/>
      <c r="E1708" s="12"/>
      <c r="F1708" s="12"/>
      <c r="G1708" s="12"/>
      <c r="H1708" s="13"/>
      <c r="I1708" s="10"/>
    </row>
    <row r="1709" spans="2:11" x14ac:dyDescent="0.2">
      <c r="B1709" s="14"/>
      <c r="H1709" s="15"/>
      <c r="I1709" s="10"/>
    </row>
    <row r="1710" spans="2:11" x14ac:dyDescent="0.2">
      <c r="B1710" s="16" t="s">
        <v>3</v>
      </c>
      <c r="C1710" s="17" t="s">
        <v>4</v>
      </c>
      <c r="D1710" s="18"/>
      <c r="E1710" s="18"/>
      <c r="F1710" s="18"/>
      <c r="G1710" s="18"/>
      <c r="H1710" s="19"/>
      <c r="I1710" s="10"/>
    </row>
    <row r="1711" spans="2:11" ht="20.399999999999999" x14ac:dyDescent="0.2">
      <c r="B1711" s="20" t="s">
        <v>5</v>
      </c>
      <c r="C1711" s="21" t="s">
        <v>6</v>
      </c>
      <c r="D1711" s="22"/>
      <c r="E1711" s="22"/>
      <c r="F1711" s="22"/>
      <c r="G1711" s="22"/>
      <c r="H1711" s="23"/>
      <c r="I1711" s="10"/>
    </row>
    <row r="1712" spans="2:11" x14ac:dyDescent="0.2">
      <c r="B1712" s="20" t="s">
        <v>7</v>
      </c>
      <c r="C1712" s="21" t="s">
        <v>8</v>
      </c>
      <c r="D1712" s="22"/>
      <c r="E1712" s="22"/>
      <c r="F1712" s="22"/>
      <c r="G1712" s="22"/>
      <c r="H1712" s="23"/>
      <c r="I1712" s="10"/>
    </row>
    <row r="1713" spans="2:9" x14ac:dyDescent="0.2">
      <c r="B1713" s="20" t="s">
        <v>9</v>
      </c>
      <c r="C1713" s="21" t="s">
        <v>10</v>
      </c>
      <c r="D1713" s="22"/>
      <c r="E1713" s="22"/>
      <c r="F1713" s="22"/>
      <c r="G1713" s="22"/>
      <c r="H1713" s="23"/>
      <c r="I1713" s="10"/>
    </row>
    <row r="1714" spans="2:9" x14ac:dyDescent="0.2">
      <c r="B1714" s="20" t="s">
        <v>11</v>
      </c>
      <c r="C1714" s="24" t="str">
        <f>VLOOKUP(K1705,'[1]FORM XIII'!C$14:P1930,3,0)</f>
        <v>BRIJESH</v>
      </c>
      <c r="D1714" s="25"/>
      <c r="E1714" s="25"/>
      <c r="F1714" s="25"/>
      <c r="G1714" s="25"/>
      <c r="H1714" s="26"/>
      <c r="I1714" s="10"/>
    </row>
    <row r="1715" spans="2:9" x14ac:dyDescent="0.2">
      <c r="B1715" s="20" t="s">
        <v>12</v>
      </c>
      <c r="C1715" s="24">
        <f>VLOOKUP(K1705,'[1]FORM XIII'!C$14:P1930,2,0)</f>
        <v>99135486</v>
      </c>
      <c r="D1715" s="25"/>
      <c r="E1715" s="25"/>
      <c r="F1715" s="25"/>
      <c r="G1715" s="25"/>
      <c r="H1715" s="26"/>
      <c r="I1715" s="10"/>
    </row>
    <row r="1716" spans="2:9" x14ac:dyDescent="0.2">
      <c r="B1716" s="20" t="s">
        <v>13</v>
      </c>
      <c r="C1716" s="24" t="str">
        <f>VLOOKUP(K1705,'[1]FORM XIII'!C$14:P1930,8,0)</f>
        <v>HELPER</v>
      </c>
      <c r="D1716" s="25"/>
      <c r="E1716" s="25"/>
      <c r="F1716" s="25"/>
      <c r="G1716" s="25"/>
      <c r="H1716" s="26"/>
      <c r="I1716" s="10"/>
    </row>
    <row r="1717" spans="2:9" ht="20.399999999999999" x14ac:dyDescent="0.2">
      <c r="B1717" s="20" t="s">
        <v>14</v>
      </c>
      <c r="C1717" s="44" t="s">
        <v>15</v>
      </c>
      <c r="D1717" s="45"/>
      <c r="E1717" s="45"/>
      <c r="F1717" s="45"/>
      <c r="G1717" s="45"/>
      <c r="H1717" s="46"/>
      <c r="I1717" s="10"/>
    </row>
    <row r="1718" spans="2:9" x14ac:dyDescent="0.2">
      <c r="B1718" s="20" t="s">
        <v>16</v>
      </c>
      <c r="C1718" s="44" t="s">
        <v>17</v>
      </c>
      <c r="D1718" s="45"/>
      <c r="E1718" s="45"/>
      <c r="F1718" s="45"/>
      <c r="G1718" s="45"/>
      <c r="H1718" s="46"/>
      <c r="I1718" s="10"/>
    </row>
    <row r="1719" spans="2:9" x14ac:dyDescent="0.2">
      <c r="B1719" s="20" t="s">
        <v>18</v>
      </c>
      <c r="C1719" s="47" t="s">
        <v>19</v>
      </c>
      <c r="D1719" s="22"/>
      <c r="E1719" s="22"/>
      <c r="F1719" s="22"/>
      <c r="G1719" s="22"/>
      <c r="H1719" s="23"/>
      <c r="I1719" s="10"/>
    </row>
    <row r="1720" spans="2:9" x14ac:dyDescent="0.2">
      <c r="B1720" s="30" t="s">
        <v>20</v>
      </c>
      <c r="C1720" s="31"/>
      <c r="D1720" s="32"/>
      <c r="E1720" s="32"/>
      <c r="F1720" s="32"/>
      <c r="G1720" s="32"/>
      <c r="H1720" s="33"/>
      <c r="I1720" s="10"/>
    </row>
    <row r="1721" spans="2:9" x14ac:dyDescent="0.2">
      <c r="B1721" s="34" t="s">
        <v>21</v>
      </c>
      <c r="C1721" s="35"/>
      <c r="D1721" s="35"/>
      <c r="E1721" s="35"/>
      <c r="F1721" s="35"/>
      <c r="G1721" s="35"/>
      <c r="H1721" s="36"/>
      <c r="I1721" s="10"/>
    </row>
    <row r="1722" spans="2:9" x14ac:dyDescent="0.2">
      <c r="B1722" s="37" t="s">
        <v>22</v>
      </c>
      <c r="C1722" s="38" t="s">
        <v>23</v>
      </c>
      <c r="D1722" s="38"/>
      <c r="E1722" s="38"/>
      <c r="F1722" s="38"/>
      <c r="G1722" s="38"/>
      <c r="H1722" s="39"/>
      <c r="I1722" s="10"/>
    </row>
    <row r="1723" spans="2:9" ht="10.8" thickBot="1" x14ac:dyDescent="0.25">
      <c r="B1723" s="40"/>
      <c r="C1723" s="41"/>
      <c r="D1723" s="41"/>
      <c r="E1723" s="41"/>
      <c r="F1723" s="41"/>
      <c r="G1723" s="41"/>
      <c r="H1723" s="41"/>
      <c r="I1723" s="42"/>
    </row>
    <row r="1724" spans="2:9" ht="10.8" thickTop="1" x14ac:dyDescent="0.2"/>
  </sheetData>
  <mergeCells count="1406">
    <mergeCell ref="C1718:H1718"/>
    <mergeCell ref="C1719:H1719"/>
    <mergeCell ref="C1720:H1720"/>
    <mergeCell ref="C1722:H1722"/>
    <mergeCell ref="C1712:H1712"/>
    <mergeCell ref="C1713:H1713"/>
    <mergeCell ref="C1714:H1714"/>
    <mergeCell ref="C1715:H1715"/>
    <mergeCell ref="C1716:H1716"/>
    <mergeCell ref="C1717:H1717"/>
    <mergeCell ref="C1698:H1698"/>
    <mergeCell ref="C1699:H1699"/>
    <mergeCell ref="C1701:H1701"/>
    <mergeCell ref="B1705:I1705"/>
    <mergeCell ref="B1706:H1706"/>
    <mergeCell ref="I1706:I1723"/>
    <mergeCell ref="B1707:H1707"/>
    <mergeCell ref="B1708:H1708"/>
    <mergeCell ref="C1710:H1710"/>
    <mergeCell ref="C1711:H1711"/>
    <mergeCell ref="C1692:H1692"/>
    <mergeCell ref="C1693:H1693"/>
    <mergeCell ref="C1694:H1694"/>
    <mergeCell ref="C1695:H1695"/>
    <mergeCell ref="C1696:H1696"/>
    <mergeCell ref="C1697:H1697"/>
    <mergeCell ref="C1678:H1678"/>
    <mergeCell ref="C1680:H1680"/>
    <mergeCell ref="B1684:I1684"/>
    <mergeCell ref="B1685:H1685"/>
    <mergeCell ref="I1685:I1702"/>
    <mergeCell ref="B1686:H1686"/>
    <mergeCell ref="B1687:H1687"/>
    <mergeCell ref="C1689:H1689"/>
    <mergeCell ref="C1690:H1690"/>
    <mergeCell ref="C1691:H1691"/>
    <mergeCell ref="C1672:H1672"/>
    <mergeCell ref="C1673:H1673"/>
    <mergeCell ref="C1674:H1674"/>
    <mergeCell ref="C1675:H1675"/>
    <mergeCell ref="C1676:H1676"/>
    <mergeCell ref="C1677:H1677"/>
    <mergeCell ref="C1659:H1659"/>
    <mergeCell ref="B1663:I1663"/>
    <mergeCell ref="B1664:H1664"/>
    <mergeCell ref="I1664:I1681"/>
    <mergeCell ref="B1665:H1665"/>
    <mergeCell ref="B1666:H1666"/>
    <mergeCell ref="C1668:H1668"/>
    <mergeCell ref="C1669:H1669"/>
    <mergeCell ref="C1670:H1670"/>
    <mergeCell ref="C1671:H1671"/>
    <mergeCell ref="C1652:H1652"/>
    <mergeCell ref="C1653:H1653"/>
    <mergeCell ref="C1654:H1654"/>
    <mergeCell ref="C1655:H1655"/>
    <mergeCell ref="C1656:H1656"/>
    <mergeCell ref="C1657:H1657"/>
    <mergeCell ref="B1642:I1642"/>
    <mergeCell ref="B1643:H1643"/>
    <mergeCell ref="I1643:I1660"/>
    <mergeCell ref="B1644:H1644"/>
    <mergeCell ref="B1645:H1645"/>
    <mergeCell ref="C1647:H1647"/>
    <mergeCell ref="C1648:H1648"/>
    <mergeCell ref="C1649:H1649"/>
    <mergeCell ref="C1650:H1650"/>
    <mergeCell ref="C1651:H1651"/>
    <mergeCell ref="C1632:H1632"/>
    <mergeCell ref="C1633:H1633"/>
    <mergeCell ref="C1634:H1634"/>
    <mergeCell ref="C1635:H1635"/>
    <mergeCell ref="C1636:H1636"/>
    <mergeCell ref="C1638:H1638"/>
    <mergeCell ref="B1622:H1622"/>
    <mergeCell ref="I1622:I1639"/>
    <mergeCell ref="B1623:H1623"/>
    <mergeCell ref="B1624:H1624"/>
    <mergeCell ref="C1626:H1626"/>
    <mergeCell ref="C1627:H1627"/>
    <mergeCell ref="C1628:H1628"/>
    <mergeCell ref="C1629:H1629"/>
    <mergeCell ref="C1630:H1630"/>
    <mergeCell ref="C1631:H1631"/>
    <mergeCell ref="C1612:H1612"/>
    <mergeCell ref="C1613:H1613"/>
    <mergeCell ref="C1614:H1614"/>
    <mergeCell ref="C1615:H1615"/>
    <mergeCell ref="C1617:H1617"/>
    <mergeCell ref="B1621:I1621"/>
    <mergeCell ref="C1606:H1606"/>
    <mergeCell ref="C1607:H1607"/>
    <mergeCell ref="C1608:H1608"/>
    <mergeCell ref="C1609:H1609"/>
    <mergeCell ref="C1610:H1610"/>
    <mergeCell ref="C1611:H1611"/>
    <mergeCell ref="C1592:H1592"/>
    <mergeCell ref="C1593:H1593"/>
    <mergeCell ref="C1594:H1594"/>
    <mergeCell ref="C1596:H1596"/>
    <mergeCell ref="B1600:I1600"/>
    <mergeCell ref="B1601:H1601"/>
    <mergeCell ref="I1601:I1618"/>
    <mergeCell ref="B1602:H1602"/>
    <mergeCell ref="B1603:H1603"/>
    <mergeCell ref="C1605:H1605"/>
    <mergeCell ref="C1586:H1586"/>
    <mergeCell ref="C1587:H1587"/>
    <mergeCell ref="C1588:H1588"/>
    <mergeCell ref="C1589:H1589"/>
    <mergeCell ref="C1590:H1590"/>
    <mergeCell ref="C1591:H1591"/>
    <mergeCell ref="C1572:H1572"/>
    <mergeCell ref="C1573:H1573"/>
    <mergeCell ref="C1575:H1575"/>
    <mergeCell ref="B1579:I1579"/>
    <mergeCell ref="B1580:H1580"/>
    <mergeCell ref="I1580:I1597"/>
    <mergeCell ref="B1581:H1581"/>
    <mergeCell ref="B1582:H1582"/>
    <mergeCell ref="C1584:H1584"/>
    <mergeCell ref="C1585:H1585"/>
    <mergeCell ref="C1566:H1566"/>
    <mergeCell ref="C1567:H1567"/>
    <mergeCell ref="C1568:H1568"/>
    <mergeCell ref="C1569:H1569"/>
    <mergeCell ref="C1570:H1570"/>
    <mergeCell ref="C1571:H1571"/>
    <mergeCell ref="C1552:H1552"/>
    <mergeCell ref="C1554:H1554"/>
    <mergeCell ref="B1558:I1558"/>
    <mergeCell ref="B1559:H1559"/>
    <mergeCell ref="I1559:I1576"/>
    <mergeCell ref="B1560:H1560"/>
    <mergeCell ref="B1561:H1561"/>
    <mergeCell ref="C1563:H1563"/>
    <mergeCell ref="C1564:H1564"/>
    <mergeCell ref="C1565:H1565"/>
    <mergeCell ref="C1546:H1546"/>
    <mergeCell ref="C1547:H1547"/>
    <mergeCell ref="C1548:H1548"/>
    <mergeCell ref="C1549:H1549"/>
    <mergeCell ref="C1550:H1550"/>
    <mergeCell ref="C1551:H1551"/>
    <mergeCell ref="B1537:I1537"/>
    <mergeCell ref="J1537:J1556"/>
    <mergeCell ref="B1538:H1538"/>
    <mergeCell ref="I1538:I1555"/>
    <mergeCell ref="B1539:H1539"/>
    <mergeCell ref="B1540:H1540"/>
    <mergeCell ref="C1542:H1542"/>
    <mergeCell ref="C1543:H1543"/>
    <mergeCell ref="C1544:H1544"/>
    <mergeCell ref="C1545:H1545"/>
    <mergeCell ref="C1527:H1527"/>
    <mergeCell ref="C1528:H1528"/>
    <mergeCell ref="C1529:H1529"/>
    <mergeCell ref="C1530:H1530"/>
    <mergeCell ref="C1531:H1531"/>
    <mergeCell ref="C1533:H1533"/>
    <mergeCell ref="B1517:H1517"/>
    <mergeCell ref="I1517:I1534"/>
    <mergeCell ref="B1518:H1518"/>
    <mergeCell ref="B1519:H1519"/>
    <mergeCell ref="C1521:H1521"/>
    <mergeCell ref="C1522:H1522"/>
    <mergeCell ref="C1523:H1523"/>
    <mergeCell ref="C1524:H1524"/>
    <mergeCell ref="C1525:H1525"/>
    <mergeCell ref="C1526:H1526"/>
    <mergeCell ref="C1507:H1507"/>
    <mergeCell ref="C1508:H1508"/>
    <mergeCell ref="C1509:H1509"/>
    <mergeCell ref="C1510:H1510"/>
    <mergeCell ref="C1512:H1512"/>
    <mergeCell ref="B1516:I1516"/>
    <mergeCell ref="C1501:H1501"/>
    <mergeCell ref="C1502:H1502"/>
    <mergeCell ref="C1503:H1503"/>
    <mergeCell ref="C1504:H1504"/>
    <mergeCell ref="C1505:H1505"/>
    <mergeCell ref="C1506:H1506"/>
    <mergeCell ref="C1487:H1487"/>
    <mergeCell ref="C1488:H1488"/>
    <mergeCell ref="C1489:H1489"/>
    <mergeCell ref="C1491:H1491"/>
    <mergeCell ref="B1495:I1495"/>
    <mergeCell ref="B1496:H1496"/>
    <mergeCell ref="I1496:I1513"/>
    <mergeCell ref="B1497:H1497"/>
    <mergeCell ref="B1498:H1498"/>
    <mergeCell ref="C1500:H1500"/>
    <mergeCell ref="C1481:H1481"/>
    <mergeCell ref="C1482:H1482"/>
    <mergeCell ref="C1483:H1483"/>
    <mergeCell ref="C1484:H1484"/>
    <mergeCell ref="C1485:H1485"/>
    <mergeCell ref="C1486:H1486"/>
    <mergeCell ref="C1467:H1467"/>
    <mergeCell ref="C1468:H1468"/>
    <mergeCell ref="C1470:H1470"/>
    <mergeCell ref="B1474:I1474"/>
    <mergeCell ref="B1475:H1475"/>
    <mergeCell ref="I1475:I1492"/>
    <mergeCell ref="B1476:H1476"/>
    <mergeCell ref="B1477:H1477"/>
    <mergeCell ref="C1479:H1479"/>
    <mergeCell ref="C1480:H1480"/>
    <mergeCell ref="C1461:H1461"/>
    <mergeCell ref="C1462:H1462"/>
    <mergeCell ref="C1463:H1463"/>
    <mergeCell ref="C1464:H1464"/>
    <mergeCell ref="C1465:H1465"/>
    <mergeCell ref="C1466:H1466"/>
    <mergeCell ref="C1447:H1447"/>
    <mergeCell ref="C1449:H1449"/>
    <mergeCell ref="B1453:I1453"/>
    <mergeCell ref="B1454:H1454"/>
    <mergeCell ref="I1454:I1471"/>
    <mergeCell ref="B1455:H1455"/>
    <mergeCell ref="B1456:H1456"/>
    <mergeCell ref="C1458:H1458"/>
    <mergeCell ref="C1459:H1459"/>
    <mergeCell ref="C1460:H1460"/>
    <mergeCell ref="C1441:H1441"/>
    <mergeCell ref="C1442:H1442"/>
    <mergeCell ref="C1443:H1443"/>
    <mergeCell ref="C1444:H1444"/>
    <mergeCell ref="C1445:H1445"/>
    <mergeCell ref="C1446:H1446"/>
    <mergeCell ref="C1428:H1428"/>
    <mergeCell ref="B1432:I1432"/>
    <mergeCell ref="B1433:H1433"/>
    <mergeCell ref="I1433:I1450"/>
    <mergeCell ref="B1434:H1434"/>
    <mergeCell ref="B1435:H1435"/>
    <mergeCell ref="C1437:H1437"/>
    <mergeCell ref="C1438:H1438"/>
    <mergeCell ref="C1439:H1439"/>
    <mergeCell ref="C1440:H1440"/>
    <mergeCell ref="C1421:H1421"/>
    <mergeCell ref="C1422:H1422"/>
    <mergeCell ref="C1423:H1423"/>
    <mergeCell ref="C1424:H1424"/>
    <mergeCell ref="C1425:H1425"/>
    <mergeCell ref="C1426:H1426"/>
    <mergeCell ref="B1411:I1411"/>
    <mergeCell ref="B1412:H1412"/>
    <mergeCell ref="I1412:I1429"/>
    <mergeCell ref="B1413:H1413"/>
    <mergeCell ref="B1414:H1414"/>
    <mergeCell ref="C1416:H1416"/>
    <mergeCell ref="C1417:H1417"/>
    <mergeCell ref="C1418:H1418"/>
    <mergeCell ref="C1419:H1419"/>
    <mergeCell ref="C1420:H1420"/>
    <mergeCell ref="C1401:H1401"/>
    <mergeCell ref="C1402:H1402"/>
    <mergeCell ref="C1403:H1403"/>
    <mergeCell ref="C1404:H1404"/>
    <mergeCell ref="C1405:H1405"/>
    <mergeCell ref="C1407:H1407"/>
    <mergeCell ref="B1391:H1391"/>
    <mergeCell ref="I1391:I1408"/>
    <mergeCell ref="B1392:H1392"/>
    <mergeCell ref="B1393:H1393"/>
    <mergeCell ref="C1395:H1395"/>
    <mergeCell ref="C1396:H1396"/>
    <mergeCell ref="C1397:H1397"/>
    <mergeCell ref="C1398:H1398"/>
    <mergeCell ref="C1399:H1399"/>
    <mergeCell ref="C1400:H1400"/>
    <mergeCell ref="C1381:H1381"/>
    <mergeCell ref="C1382:H1382"/>
    <mergeCell ref="C1383:H1383"/>
    <mergeCell ref="C1384:H1384"/>
    <mergeCell ref="C1386:H1386"/>
    <mergeCell ref="B1390:I1390"/>
    <mergeCell ref="C1375:H1375"/>
    <mergeCell ref="C1376:H1376"/>
    <mergeCell ref="C1377:H1377"/>
    <mergeCell ref="C1378:H1378"/>
    <mergeCell ref="C1379:H1379"/>
    <mergeCell ref="C1380:H1380"/>
    <mergeCell ref="C1361:H1361"/>
    <mergeCell ref="C1362:H1362"/>
    <mergeCell ref="C1363:H1363"/>
    <mergeCell ref="C1365:H1365"/>
    <mergeCell ref="B1369:I1369"/>
    <mergeCell ref="B1370:H1370"/>
    <mergeCell ref="I1370:I1387"/>
    <mergeCell ref="B1371:H1371"/>
    <mergeCell ref="B1372:H1372"/>
    <mergeCell ref="C1374:H1374"/>
    <mergeCell ref="C1355:H1355"/>
    <mergeCell ref="C1356:H1356"/>
    <mergeCell ref="C1357:H1357"/>
    <mergeCell ref="C1358:H1358"/>
    <mergeCell ref="C1359:H1359"/>
    <mergeCell ref="C1360:H1360"/>
    <mergeCell ref="C1342:H1342"/>
    <mergeCell ref="C1344:H1344"/>
    <mergeCell ref="B1348:I1348"/>
    <mergeCell ref="J1348:J1367"/>
    <mergeCell ref="B1349:H1349"/>
    <mergeCell ref="I1349:I1366"/>
    <mergeCell ref="B1350:H1350"/>
    <mergeCell ref="B1351:H1351"/>
    <mergeCell ref="C1353:H1353"/>
    <mergeCell ref="C1354:H1354"/>
    <mergeCell ref="C1336:H1336"/>
    <mergeCell ref="C1337:H1337"/>
    <mergeCell ref="C1338:H1338"/>
    <mergeCell ref="C1339:H1339"/>
    <mergeCell ref="C1340:H1340"/>
    <mergeCell ref="C1341:H1341"/>
    <mergeCell ref="C1323:H1323"/>
    <mergeCell ref="B1327:I1327"/>
    <mergeCell ref="B1328:H1328"/>
    <mergeCell ref="I1328:I1345"/>
    <mergeCell ref="B1329:H1329"/>
    <mergeCell ref="B1330:H1330"/>
    <mergeCell ref="C1332:H1332"/>
    <mergeCell ref="C1333:H1333"/>
    <mergeCell ref="C1334:H1334"/>
    <mergeCell ref="C1335:H1335"/>
    <mergeCell ref="C1316:H1316"/>
    <mergeCell ref="C1317:H1317"/>
    <mergeCell ref="C1318:H1318"/>
    <mergeCell ref="C1319:H1319"/>
    <mergeCell ref="C1320:H1320"/>
    <mergeCell ref="C1321:H1321"/>
    <mergeCell ref="B1306:I1306"/>
    <mergeCell ref="B1307:H1307"/>
    <mergeCell ref="I1307:I1324"/>
    <mergeCell ref="B1308:H1308"/>
    <mergeCell ref="B1309:H1309"/>
    <mergeCell ref="C1311:H1311"/>
    <mergeCell ref="C1312:H1312"/>
    <mergeCell ref="C1313:H1313"/>
    <mergeCell ref="C1314:H1314"/>
    <mergeCell ref="C1315:H1315"/>
    <mergeCell ref="C1296:H1296"/>
    <mergeCell ref="C1297:H1297"/>
    <mergeCell ref="C1298:H1298"/>
    <mergeCell ref="C1299:H1299"/>
    <mergeCell ref="C1300:H1300"/>
    <mergeCell ref="C1302:H1302"/>
    <mergeCell ref="B1286:H1286"/>
    <mergeCell ref="I1286:I1303"/>
    <mergeCell ref="B1287:H1287"/>
    <mergeCell ref="B1288:H1288"/>
    <mergeCell ref="C1290:H1290"/>
    <mergeCell ref="C1291:H1291"/>
    <mergeCell ref="C1292:H1292"/>
    <mergeCell ref="C1293:H1293"/>
    <mergeCell ref="C1294:H1294"/>
    <mergeCell ref="C1295:H1295"/>
    <mergeCell ref="C1276:H1276"/>
    <mergeCell ref="C1277:H1277"/>
    <mergeCell ref="C1278:H1278"/>
    <mergeCell ref="C1279:H1279"/>
    <mergeCell ref="C1281:H1281"/>
    <mergeCell ref="B1285:I1285"/>
    <mergeCell ref="C1270:H1270"/>
    <mergeCell ref="C1271:H1271"/>
    <mergeCell ref="C1272:H1272"/>
    <mergeCell ref="C1273:H1273"/>
    <mergeCell ref="C1274:H1274"/>
    <mergeCell ref="C1275:H1275"/>
    <mergeCell ref="C1256:H1256"/>
    <mergeCell ref="C1257:H1257"/>
    <mergeCell ref="C1258:H1258"/>
    <mergeCell ref="C1260:H1260"/>
    <mergeCell ref="B1264:I1264"/>
    <mergeCell ref="B1265:H1265"/>
    <mergeCell ref="I1265:I1282"/>
    <mergeCell ref="B1266:H1266"/>
    <mergeCell ref="B1267:H1267"/>
    <mergeCell ref="C1269:H1269"/>
    <mergeCell ref="C1250:H1250"/>
    <mergeCell ref="C1251:H1251"/>
    <mergeCell ref="C1252:H1252"/>
    <mergeCell ref="C1253:H1253"/>
    <mergeCell ref="C1254:H1254"/>
    <mergeCell ref="C1255:H1255"/>
    <mergeCell ref="C1236:H1236"/>
    <mergeCell ref="C1237:H1237"/>
    <mergeCell ref="C1239:H1239"/>
    <mergeCell ref="B1243:I1243"/>
    <mergeCell ref="B1244:H1244"/>
    <mergeCell ref="I1244:I1261"/>
    <mergeCell ref="B1245:H1245"/>
    <mergeCell ref="B1246:H1246"/>
    <mergeCell ref="C1248:H1248"/>
    <mergeCell ref="C1249:H1249"/>
    <mergeCell ref="C1230:H1230"/>
    <mergeCell ref="C1231:H1231"/>
    <mergeCell ref="C1232:H1232"/>
    <mergeCell ref="C1233:H1233"/>
    <mergeCell ref="C1234:H1234"/>
    <mergeCell ref="C1235:H1235"/>
    <mergeCell ref="C1216:H1216"/>
    <mergeCell ref="C1218:H1218"/>
    <mergeCell ref="B1222:I1222"/>
    <mergeCell ref="B1223:H1223"/>
    <mergeCell ref="I1223:I1240"/>
    <mergeCell ref="B1224:H1224"/>
    <mergeCell ref="B1225:H1225"/>
    <mergeCell ref="C1227:H1227"/>
    <mergeCell ref="C1228:H1228"/>
    <mergeCell ref="C1229:H1229"/>
    <mergeCell ref="C1210:H1210"/>
    <mergeCell ref="C1211:H1211"/>
    <mergeCell ref="C1212:H1212"/>
    <mergeCell ref="C1213:H1213"/>
    <mergeCell ref="C1214:H1214"/>
    <mergeCell ref="C1215:H1215"/>
    <mergeCell ref="C1197:H1197"/>
    <mergeCell ref="B1201:I1201"/>
    <mergeCell ref="B1202:H1202"/>
    <mergeCell ref="I1202:I1219"/>
    <mergeCell ref="B1203:H1203"/>
    <mergeCell ref="B1204:H1204"/>
    <mergeCell ref="C1206:H1206"/>
    <mergeCell ref="C1207:H1207"/>
    <mergeCell ref="C1208:H1208"/>
    <mergeCell ref="C1209:H1209"/>
    <mergeCell ref="C1190:H1190"/>
    <mergeCell ref="C1191:H1191"/>
    <mergeCell ref="C1192:H1192"/>
    <mergeCell ref="C1193:H1193"/>
    <mergeCell ref="C1194:H1194"/>
    <mergeCell ref="C1195:H1195"/>
    <mergeCell ref="B1180:I1180"/>
    <mergeCell ref="B1181:H1181"/>
    <mergeCell ref="I1181:I1198"/>
    <mergeCell ref="B1182:H1182"/>
    <mergeCell ref="B1183:H1183"/>
    <mergeCell ref="C1185:H1185"/>
    <mergeCell ref="C1186:H1186"/>
    <mergeCell ref="C1187:H1187"/>
    <mergeCell ref="C1188:H1188"/>
    <mergeCell ref="C1189:H1189"/>
    <mergeCell ref="C1170:H1170"/>
    <mergeCell ref="C1171:H1171"/>
    <mergeCell ref="C1172:H1172"/>
    <mergeCell ref="C1173:H1173"/>
    <mergeCell ref="C1174:H1174"/>
    <mergeCell ref="C1176:H1176"/>
    <mergeCell ref="C1164:H1164"/>
    <mergeCell ref="C1165:H1165"/>
    <mergeCell ref="C1166:H1166"/>
    <mergeCell ref="C1167:H1167"/>
    <mergeCell ref="C1168:H1168"/>
    <mergeCell ref="C1169:H1169"/>
    <mergeCell ref="C1151:H1151"/>
    <mergeCell ref="C1152:H1152"/>
    <mergeCell ref="C1153:H1153"/>
    <mergeCell ref="C1155:H1155"/>
    <mergeCell ref="B1159:I1159"/>
    <mergeCell ref="J1159:J1178"/>
    <mergeCell ref="B1160:H1160"/>
    <mergeCell ref="I1160:I1177"/>
    <mergeCell ref="B1161:H1161"/>
    <mergeCell ref="B1162:H1162"/>
    <mergeCell ref="C1145:H1145"/>
    <mergeCell ref="C1146:H1146"/>
    <mergeCell ref="C1147:H1147"/>
    <mergeCell ref="C1148:H1148"/>
    <mergeCell ref="C1149:H1149"/>
    <mergeCell ref="C1150:H1150"/>
    <mergeCell ref="C1131:H1131"/>
    <mergeCell ref="C1132:H1132"/>
    <mergeCell ref="C1134:H1134"/>
    <mergeCell ref="B1138:I1138"/>
    <mergeCell ref="B1139:H1139"/>
    <mergeCell ref="I1139:I1156"/>
    <mergeCell ref="B1140:H1140"/>
    <mergeCell ref="B1141:H1141"/>
    <mergeCell ref="C1143:H1143"/>
    <mergeCell ref="C1144:H1144"/>
    <mergeCell ref="C1125:H1125"/>
    <mergeCell ref="C1126:H1126"/>
    <mergeCell ref="C1127:H1127"/>
    <mergeCell ref="C1128:H1128"/>
    <mergeCell ref="C1129:H1129"/>
    <mergeCell ref="C1130:H1130"/>
    <mergeCell ref="C1111:H1111"/>
    <mergeCell ref="C1113:H1113"/>
    <mergeCell ref="B1117:I1117"/>
    <mergeCell ref="B1118:H1118"/>
    <mergeCell ref="I1118:I1135"/>
    <mergeCell ref="B1119:H1119"/>
    <mergeCell ref="B1120:H1120"/>
    <mergeCell ref="C1122:H1122"/>
    <mergeCell ref="C1123:H1123"/>
    <mergeCell ref="C1124:H1124"/>
    <mergeCell ref="C1105:H1105"/>
    <mergeCell ref="C1106:H1106"/>
    <mergeCell ref="C1107:H1107"/>
    <mergeCell ref="C1108:H1108"/>
    <mergeCell ref="C1109:H1109"/>
    <mergeCell ref="C1110:H1110"/>
    <mergeCell ref="C1092:H1092"/>
    <mergeCell ref="B1096:I1096"/>
    <mergeCell ref="B1097:H1097"/>
    <mergeCell ref="I1097:I1114"/>
    <mergeCell ref="B1098:H1098"/>
    <mergeCell ref="B1099:H1099"/>
    <mergeCell ref="C1101:H1101"/>
    <mergeCell ref="C1102:H1102"/>
    <mergeCell ref="C1103:H1103"/>
    <mergeCell ref="C1104:H1104"/>
    <mergeCell ref="C1085:H1085"/>
    <mergeCell ref="C1086:H1086"/>
    <mergeCell ref="C1087:H1087"/>
    <mergeCell ref="C1088:H1088"/>
    <mergeCell ref="C1089:H1089"/>
    <mergeCell ref="C1090:H1090"/>
    <mergeCell ref="B1075:I1075"/>
    <mergeCell ref="B1076:H1076"/>
    <mergeCell ref="I1076:I1093"/>
    <mergeCell ref="B1077:H1077"/>
    <mergeCell ref="B1078:H1078"/>
    <mergeCell ref="C1080:H1080"/>
    <mergeCell ref="C1081:H1081"/>
    <mergeCell ref="C1082:H1082"/>
    <mergeCell ref="C1083:H1083"/>
    <mergeCell ref="C1084:H1084"/>
    <mergeCell ref="C1065:H1065"/>
    <mergeCell ref="C1066:H1066"/>
    <mergeCell ref="C1067:H1067"/>
    <mergeCell ref="C1068:H1068"/>
    <mergeCell ref="C1069:H1069"/>
    <mergeCell ref="C1071:H1071"/>
    <mergeCell ref="B1055:H1055"/>
    <mergeCell ref="I1055:I1072"/>
    <mergeCell ref="B1056:H1056"/>
    <mergeCell ref="B1057:H1057"/>
    <mergeCell ref="C1059:H1059"/>
    <mergeCell ref="C1060:H1060"/>
    <mergeCell ref="C1061:H1061"/>
    <mergeCell ref="C1062:H1062"/>
    <mergeCell ref="C1063:H1063"/>
    <mergeCell ref="C1064:H1064"/>
    <mergeCell ref="C1045:H1045"/>
    <mergeCell ref="C1046:H1046"/>
    <mergeCell ref="C1047:H1047"/>
    <mergeCell ref="C1048:H1048"/>
    <mergeCell ref="C1050:H1050"/>
    <mergeCell ref="B1054:I1054"/>
    <mergeCell ref="C1039:H1039"/>
    <mergeCell ref="C1040:H1040"/>
    <mergeCell ref="C1041:H1041"/>
    <mergeCell ref="C1042:H1042"/>
    <mergeCell ref="C1043:H1043"/>
    <mergeCell ref="C1044:H1044"/>
    <mergeCell ref="C1025:H1025"/>
    <mergeCell ref="C1026:H1026"/>
    <mergeCell ref="C1027:H1027"/>
    <mergeCell ref="C1029:H1029"/>
    <mergeCell ref="B1033:I1033"/>
    <mergeCell ref="B1034:H1034"/>
    <mergeCell ref="I1034:I1051"/>
    <mergeCell ref="B1035:H1035"/>
    <mergeCell ref="B1036:H1036"/>
    <mergeCell ref="C1038:H1038"/>
    <mergeCell ref="C1019:H1019"/>
    <mergeCell ref="C1020:H1020"/>
    <mergeCell ref="C1021:H1021"/>
    <mergeCell ref="C1022:H1022"/>
    <mergeCell ref="C1023:H1023"/>
    <mergeCell ref="C1024:H1024"/>
    <mergeCell ref="C1005:H1005"/>
    <mergeCell ref="C1006:H1006"/>
    <mergeCell ref="C1008:H1008"/>
    <mergeCell ref="B1012:I1012"/>
    <mergeCell ref="B1013:H1013"/>
    <mergeCell ref="I1013:I1030"/>
    <mergeCell ref="B1014:H1014"/>
    <mergeCell ref="B1015:H1015"/>
    <mergeCell ref="C1017:H1017"/>
    <mergeCell ref="C1018:H1018"/>
    <mergeCell ref="C999:H999"/>
    <mergeCell ref="C1000:H1000"/>
    <mergeCell ref="C1001:H1001"/>
    <mergeCell ref="C1002:H1002"/>
    <mergeCell ref="C1003:H1003"/>
    <mergeCell ref="C1004:H1004"/>
    <mergeCell ref="C985:H985"/>
    <mergeCell ref="C987:H987"/>
    <mergeCell ref="B991:I991"/>
    <mergeCell ref="B992:H992"/>
    <mergeCell ref="I992:I1009"/>
    <mergeCell ref="B993:H993"/>
    <mergeCell ref="B994:H994"/>
    <mergeCell ref="C996:H996"/>
    <mergeCell ref="C997:H997"/>
    <mergeCell ref="C998:H998"/>
    <mergeCell ref="C979:H979"/>
    <mergeCell ref="C980:H980"/>
    <mergeCell ref="C981:H981"/>
    <mergeCell ref="C982:H982"/>
    <mergeCell ref="C983:H983"/>
    <mergeCell ref="C984:H984"/>
    <mergeCell ref="B970:I970"/>
    <mergeCell ref="J970:J989"/>
    <mergeCell ref="B971:H971"/>
    <mergeCell ref="I971:I988"/>
    <mergeCell ref="B972:H972"/>
    <mergeCell ref="B973:H973"/>
    <mergeCell ref="C975:H975"/>
    <mergeCell ref="C976:H976"/>
    <mergeCell ref="C977:H977"/>
    <mergeCell ref="C978:H978"/>
    <mergeCell ref="C960:H960"/>
    <mergeCell ref="C961:H961"/>
    <mergeCell ref="C962:H962"/>
    <mergeCell ref="C963:H963"/>
    <mergeCell ref="C964:H964"/>
    <mergeCell ref="C966:H966"/>
    <mergeCell ref="B950:H950"/>
    <mergeCell ref="I950:I967"/>
    <mergeCell ref="B951:H951"/>
    <mergeCell ref="B952:H952"/>
    <mergeCell ref="C954:H954"/>
    <mergeCell ref="C955:H955"/>
    <mergeCell ref="C956:H956"/>
    <mergeCell ref="C957:H957"/>
    <mergeCell ref="C958:H958"/>
    <mergeCell ref="C959:H959"/>
    <mergeCell ref="C940:H940"/>
    <mergeCell ref="C941:H941"/>
    <mergeCell ref="C942:H942"/>
    <mergeCell ref="C943:H943"/>
    <mergeCell ref="C945:H945"/>
    <mergeCell ref="B949:I949"/>
    <mergeCell ref="C934:H934"/>
    <mergeCell ref="C935:H935"/>
    <mergeCell ref="C936:H936"/>
    <mergeCell ref="C937:H937"/>
    <mergeCell ref="C938:H938"/>
    <mergeCell ref="C939:H939"/>
    <mergeCell ref="C920:H920"/>
    <mergeCell ref="C921:H921"/>
    <mergeCell ref="C922:H922"/>
    <mergeCell ref="C924:H924"/>
    <mergeCell ref="B928:I928"/>
    <mergeCell ref="B929:H929"/>
    <mergeCell ref="I929:I946"/>
    <mergeCell ref="B930:H930"/>
    <mergeCell ref="B931:H931"/>
    <mergeCell ref="C933:H933"/>
    <mergeCell ref="C914:H914"/>
    <mergeCell ref="C915:H915"/>
    <mergeCell ref="C916:H916"/>
    <mergeCell ref="C917:H917"/>
    <mergeCell ref="C918:H918"/>
    <mergeCell ref="C919:H919"/>
    <mergeCell ref="C900:H900"/>
    <mergeCell ref="C901:H901"/>
    <mergeCell ref="C903:H903"/>
    <mergeCell ref="B907:I907"/>
    <mergeCell ref="B908:H908"/>
    <mergeCell ref="I908:I925"/>
    <mergeCell ref="B909:H909"/>
    <mergeCell ref="B910:H910"/>
    <mergeCell ref="C912:H912"/>
    <mergeCell ref="C913:H913"/>
    <mergeCell ref="C894:H894"/>
    <mergeCell ref="C895:H895"/>
    <mergeCell ref="C896:H896"/>
    <mergeCell ref="C897:H897"/>
    <mergeCell ref="C898:H898"/>
    <mergeCell ref="C899:H899"/>
    <mergeCell ref="C880:H880"/>
    <mergeCell ref="C882:H882"/>
    <mergeCell ref="B886:I886"/>
    <mergeCell ref="B887:H887"/>
    <mergeCell ref="I887:I904"/>
    <mergeCell ref="B888:H888"/>
    <mergeCell ref="B889:H889"/>
    <mergeCell ref="C891:H891"/>
    <mergeCell ref="C892:H892"/>
    <mergeCell ref="C893:H893"/>
    <mergeCell ref="C874:H874"/>
    <mergeCell ref="C875:H875"/>
    <mergeCell ref="C876:H876"/>
    <mergeCell ref="C877:H877"/>
    <mergeCell ref="C878:H878"/>
    <mergeCell ref="C879:H879"/>
    <mergeCell ref="C861:H861"/>
    <mergeCell ref="B865:I865"/>
    <mergeCell ref="B866:H866"/>
    <mergeCell ref="I866:I883"/>
    <mergeCell ref="B867:H867"/>
    <mergeCell ref="B868:H868"/>
    <mergeCell ref="C870:H870"/>
    <mergeCell ref="C871:H871"/>
    <mergeCell ref="C872:H872"/>
    <mergeCell ref="C873:H873"/>
    <mergeCell ref="C854:H854"/>
    <mergeCell ref="C855:H855"/>
    <mergeCell ref="C856:H856"/>
    <mergeCell ref="C857:H857"/>
    <mergeCell ref="C858:H858"/>
    <mergeCell ref="C859:H859"/>
    <mergeCell ref="B844:I844"/>
    <mergeCell ref="B845:H845"/>
    <mergeCell ref="I845:I862"/>
    <mergeCell ref="B846:H846"/>
    <mergeCell ref="B847:H847"/>
    <mergeCell ref="C849:H849"/>
    <mergeCell ref="C850:H850"/>
    <mergeCell ref="C851:H851"/>
    <mergeCell ref="C852:H852"/>
    <mergeCell ref="C853:H853"/>
    <mergeCell ref="C834:H834"/>
    <mergeCell ref="C835:H835"/>
    <mergeCell ref="C836:H836"/>
    <mergeCell ref="C837:H837"/>
    <mergeCell ref="C838:H838"/>
    <mergeCell ref="C840:H840"/>
    <mergeCell ref="B824:H824"/>
    <mergeCell ref="I824:I841"/>
    <mergeCell ref="B825:H825"/>
    <mergeCell ref="B826:H826"/>
    <mergeCell ref="C828:H828"/>
    <mergeCell ref="C829:H829"/>
    <mergeCell ref="C830:H830"/>
    <mergeCell ref="C831:H831"/>
    <mergeCell ref="C832:H832"/>
    <mergeCell ref="C833:H833"/>
    <mergeCell ref="C814:H814"/>
    <mergeCell ref="C815:H815"/>
    <mergeCell ref="C816:H816"/>
    <mergeCell ref="C817:H817"/>
    <mergeCell ref="C819:H819"/>
    <mergeCell ref="B823:I823"/>
    <mergeCell ref="C808:H808"/>
    <mergeCell ref="C809:H809"/>
    <mergeCell ref="C810:H810"/>
    <mergeCell ref="C811:H811"/>
    <mergeCell ref="C812:H812"/>
    <mergeCell ref="C813:H813"/>
    <mergeCell ref="C794:H794"/>
    <mergeCell ref="C795:H795"/>
    <mergeCell ref="C796:H796"/>
    <mergeCell ref="C798:H798"/>
    <mergeCell ref="B802:I802"/>
    <mergeCell ref="B803:H803"/>
    <mergeCell ref="I803:I820"/>
    <mergeCell ref="B804:H804"/>
    <mergeCell ref="B805:H805"/>
    <mergeCell ref="C807:H807"/>
    <mergeCell ref="C788:H788"/>
    <mergeCell ref="C789:H789"/>
    <mergeCell ref="C790:H790"/>
    <mergeCell ref="C791:H791"/>
    <mergeCell ref="C792:H792"/>
    <mergeCell ref="C793:H793"/>
    <mergeCell ref="C775:H775"/>
    <mergeCell ref="C777:H777"/>
    <mergeCell ref="B781:I781"/>
    <mergeCell ref="J781:J800"/>
    <mergeCell ref="B782:H782"/>
    <mergeCell ref="I782:I799"/>
    <mergeCell ref="B783:H783"/>
    <mergeCell ref="B784:H784"/>
    <mergeCell ref="C786:H786"/>
    <mergeCell ref="C787:H787"/>
    <mergeCell ref="C769:H769"/>
    <mergeCell ref="C770:H770"/>
    <mergeCell ref="C771:H771"/>
    <mergeCell ref="C772:H772"/>
    <mergeCell ref="C773:H773"/>
    <mergeCell ref="C774:H774"/>
    <mergeCell ref="C756:H756"/>
    <mergeCell ref="B760:I760"/>
    <mergeCell ref="B761:H761"/>
    <mergeCell ref="I761:I778"/>
    <mergeCell ref="B762:H762"/>
    <mergeCell ref="B763:H763"/>
    <mergeCell ref="C765:H765"/>
    <mergeCell ref="C766:H766"/>
    <mergeCell ref="C767:H767"/>
    <mergeCell ref="C768:H768"/>
    <mergeCell ref="C749:H749"/>
    <mergeCell ref="C750:H750"/>
    <mergeCell ref="C751:H751"/>
    <mergeCell ref="C752:H752"/>
    <mergeCell ref="C753:H753"/>
    <mergeCell ref="C754:H754"/>
    <mergeCell ref="B739:I739"/>
    <mergeCell ref="B740:H740"/>
    <mergeCell ref="I740:I757"/>
    <mergeCell ref="B741:H741"/>
    <mergeCell ref="B742:H742"/>
    <mergeCell ref="C744:H744"/>
    <mergeCell ref="C745:H745"/>
    <mergeCell ref="C746:H746"/>
    <mergeCell ref="C747:H747"/>
    <mergeCell ref="C748:H748"/>
    <mergeCell ref="C729:H729"/>
    <mergeCell ref="C730:H730"/>
    <mergeCell ref="C731:H731"/>
    <mergeCell ref="C732:H732"/>
    <mergeCell ref="C733:H733"/>
    <mergeCell ref="C735:H735"/>
    <mergeCell ref="B719:H719"/>
    <mergeCell ref="I719:I736"/>
    <mergeCell ref="B720:H720"/>
    <mergeCell ref="B721:H721"/>
    <mergeCell ref="C723:H723"/>
    <mergeCell ref="C724:H724"/>
    <mergeCell ref="C725:H725"/>
    <mergeCell ref="C726:H726"/>
    <mergeCell ref="C727:H727"/>
    <mergeCell ref="C728:H728"/>
    <mergeCell ref="C709:H709"/>
    <mergeCell ref="C710:H710"/>
    <mergeCell ref="C711:H711"/>
    <mergeCell ref="C712:H712"/>
    <mergeCell ref="C714:H714"/>
    <mergeCell ref="B718:I718"/>
    <mergeCell ref="C703:H703"/>
    <mergeCell ref="C704:H704"/>
    <mergeCell ref="C705:H705"/>
    <mergeCell ref="C706:H706"/>
    <mergeCell ref="C707:H707"/>
    <mergeCell ref="C708:H708"/>
    <mergeCell ref="C689:H689"/>
    <mergeCell ref="C690:H690"/>
    <mergeCell ref="C691:H691"/>
    <mergeCell ref="C693:H693"/>
    <mergeCell ref="B697:I697"/>
    <mergeCell ref="B698:H698"/>
    <mergeCell ref="I698:I715"/>
    <mergeCell ref="B699:H699"/>
    <mergeCell ref="B700:H700"/>
    <mergeCell ref="C702:H702"/>
    <mergeCell ref="C683:H683"/>
    <mergeCell ref="C684:H684"/>
    <mergeCell ref="C685:H685"/>
    <mergeCell ref="C686:H686"/>
    <mergeCell ref="C687:H687"/>
    <mergeCell ref="C688:H688"/>
    <mergeCell ref="C669:H669"/>
    <mergeCell ref="C670:H670"/>
    <mergeCell ref="C672:H672"/>
    <mergeCell ref="B676:I676"/>
    <mergeCell ref="B677:H677"/>
    <mergeCell ref="I677:I694"/>
    <mergeCell ref="B678:H678"/>
    <mergeCell ref="B679:H679"/>
    <mergeCell ref="C681:H681"/>
    <mergeCell ref="C682:H682"/>
    <mergeCell ref="C663:H663"/>
    <mergeCell ref="C664:H664"/>
    <mergeCell ref="C665:H665"/>
    <mergeCell ref="C666:H666"/>
    <mergeCell ref="C667:H667"/>
    <mergeCell ref="C668:H668"/>
    <mergeCell ref="C649:H649"/>
    <mergeCell ref="C651:H651"/>
    <mergeCell ref="B655:I655"/>
    <mergeCell ref="B656:H656"/>
    <mergeCell ref="I656:I673"/>
    <mergeCell ref="B657:H657"/>
    <mergeCell ref="B658:H658"/>
    <mergeCell ref="C660:H660"/>
    <mergeCell ref="C661:H661"/>
    <mergeCell ref="C662:H662"/>
    <mergeCell ref="C643:H643"/>
    <mergeCell ref="C644:H644"/>
    <mergeCell ref="C645:H645"/>
    <mergeCell ref="C646:H646"/>
    <mergeCell ref="C647:H647"/>
    <mergeCell ref="C648:H648"/>
    <mergeCell ref="C630:H630"/>
    <mergeCell ref="B634:I634"/>
    <mergeCell ref="B635:H635"/>
    <mergeCell ref="I635:I652"/>
    <mergeCell ref="B636:H636"/>
    <mergeCell ref="B637:H637"/>
    <mergeCell ref="C639:H639"/>
    <mergeCell ref="C640:H640"/>
    <mergeCell ref="C641:H641"/>
    <mergeCell ref="C642:H642"/>
    <mergeCell ref="C623:H623"/>
    <mergeCell ref="C624:H624"/>
    <mergeCell ref="C625:H625"/>
    <mergeCell ref="C626:H626"/>
    <mergeCell ref="C627:H627"/>
    <mergeCell ref="C628:H628"/>
    <mergeCell ref="B613:I613"/>
    <mergeCell ref="B614:H614"/>
    <mergeCell ref="I614:I631"/>
    <mergeCell ref="B615:H615"/>
    <mergeCell ref="B616:H616"/>
    <mergeCell ref="C618:H618"/>
    <mergeCell ref="C619:H619"/>
    <mergeCell ref="C620:H620"/>
    <mergeCell ref="C621:H621"/>
    <mergeCell ref="C622:H622"/>
    <mergeCell ref="C603:H603"/>
    <mergeCell ref="C604:H604"/>
    <mergeCell ref="C605:H605"/>
    <mergeCell ref="C606:H606"/>
    <mergeCell ref="C607:H607"/>
    <mergeCell ref="C609:H609"/>
    <mergeCell ref="C597:H597"/>
    <mergeCell ref="C598:H598"/>
    <mergeCell ref="C599:H599"/>
    <mergeCell ref="C600:H600"/>
    <mergeCell ref="C601:H601"/>
    <mergeCell ref="C602:H602"/>
    <mergeCell ref="C584:H584"/>
    <mergeCell ref="C585:H585"/>
    <mergeCell ref="C586:H586"/>
    <mergeCell ref="C588:H588"/>
    <mergeCell ref="B592:I592"/>
    <mergeCell ref="J592:J611"/>
    <mergeCell ref="B593:H593"/>
    <mergeCell ref="I593:I610"/>
    <mergeCell ref="B594:H594"/>
    <mergeCell ref="B595:H595"/>
    <mergeCell ref="C578:H578"/>
    <mergeCell ref="C579:H579"/>
    <mergeCell ref="C580:H580"/>
    <mergeCell ref="C581:H581"/>
    <mergeCell ref="C582:H582"/>
    <mergeCell ref="C583:H583"/>
    <mergeCell ref="C564:H564"/>
    <mergeCell ref="C565:H565"/>
    <mergeCell ref="C567:H567"/>
    <mergeCell ref="B571:I571"/>
    <mergeCell ref="B572:H572"/>
    <mergeCell ref="I572:I589"/>
    <mergeCell ref="B573:H573"/>
    <mergeCell ref="B574:H574"/>
    <mergeCell ref="C576:H576"/>
    <mergeCell ref="C577:H577"/>
    <mergeCell ref="C558:H558"/>
    <mergeCell ref="C559:H559"/>
    <mergeCell ref="C560:H560"/>
    <mergeCell ref="C561:H561"/>
    <mergeCell ref="C562:H562"/>
    <mergeCell ref="C563:H563"/>
    <mergeCell ref="C544:H544"/>
    <mergeCell ref="C546:H546"/>
    <mergeCell ref="B550:I550"/>
    <mergeCell ref="B551:H551"/>
    <mergeCell ref="I551:I568"/>
    <mergeCell ref="B552:H552"/>
    <mergeCell ref="B553:H553"/>
    <mergeCell ref="C555:H555"/>
    <mergeCell ref="C556:H556"/>
    <mergeCell ref="C557:H557"/>
    <mergeCell ref="C538:H538"/>
    <mergeCell ref="C539:H539"/>
    <mergeCell ref="C540:H540"/>
    <mergeCell ref="C541:H541"/>
    <mergeCell ref="C542:H542"/>
    <mergeCell ref="C543:H543"/>
    <mergeCell ref="C525:H525"/>
    <mergeCell ref="B529:I529"/>
    <mergeCell ref="B530:H530"/>
    <mergeCell ref="I530:I547"/>
    <mergeCell ref="B531:H531"/>
    <mergeCell ref="B532:H532"/>
    <mergeCell ref="C534:H534"/>
    <mergeCell ref="C535:H535"/>
    <mergeCell ref="C536:H536"/>
    <mergeCell ref="C537:H537"/>
    <mergeCell ref="C518:H518"/>
    <mergeCell ref="C519:H519"/>
    <mergeCell ref="C520:H520"/>
    <mergeCell ref="C521:H521"/>
    <mergeCell ref="C522:H522"/>
    <mergeCell ref="C523:H523"/>
    <mergeCell ref="B508:I508"/>
    <mergeCell ref="B509:H509"/>
    <mergeCell ref="I509:I526"/>
    <mergeCell ref="B510:H510"/>
    <mergeCell ref="B511:H511"/>
    <mergeCell ref="C513:H513"/>
    <mergeCell ref="C514:H514"/>
    <mergeCell ref="C515:H515"/>
    <mergeCell ref="C516:H516"/>
    <mergeCell ref="C517:H517"/>
    <mergeCell ref="C498:H498"/>
    <mergeCell ref="C499:H499"/>
    <mergeCell ref="C500:H500"/>
    <mergeCell ref="C501:H501"/>
    <mergeCell ref="C502:H502"/>
    <mergeCell ref="C504:H504"/>
    <mergeCell ref="B488:H488"/>
    <mergeCell ref="I488:I505"/>
    <mergeCell ref="B489:H489"/>
    <mergeCell ref="B490:H490"/>
    <mergeCell ref="C492:H492"/>
    <mergeCell ref="C493:H493"/>
    <mergeCell ref="C494:H494"/>
    <mergeCell ref="C495:H495"/>
    <mergeCell ref="C496:H496"/>
    <mergeCell ref="C497:H497"/>
    <mergeCell ref="C478:H478"/>
    <mergeCell ref="C479:H479"/>
    <mergeCell ref="C480:H480"/>
    <mergeCell ref="C481:H481"/>
    <mergeCell ref="C483:H483"/>
    <mergeCell ref="B487:I487"/>
    <mergeCell ref="C472:H472"/>
    <mergeCell ref="C473:H473"/>
    <mergeCell ref="C474:H474"/>
    <mergeCell ref="C475:H475"/>
    <mergeCell ref="C476:H476"/>
    <mergeCell ref="C477:H477"/>
    <mergeCell ref="C458:H458"/>
    <mergeCell ref="C459:H459"/>
    <mergeCell ref="C460:H460"/>
    <mergeCell ref="C462:H462"/>
    <mergeCell ref="B466:I466"/>
    <mergeCell ref="B467:H467"/>
    <mergeCell ref="I467:I484"/>
    <mergeCell ref="B468:H468"/>
    <mergeCell ref="B469:H469"/>
    <mergeCell ref="C471:H471"/>
    <mergeCell ref="C452:H452"/>
    <mergeCell ref="C453:H453"/>
    <mergeCell ref="C454:H454"/>
    <mergeCell ref="C455:H455"/>
    <mergeCell ref="C456:H456"/>
    <mergeCell ref="C457:H457"/>
    <mergeCell ref="C437:H437"/>
    <mergeCell ref="C438:H438"/>
    <mergeCell ref="C440:H440"/>
    <mergeCell ref="B445:I445"/>
    <mergeCell ref="B446:H446"/>
    <mergeCell ref="I446:I463"/>
    <mergeCell ref="B447:H447"/>
    <mergeCell ref="B448:H448"/>
    <mergeCell ref="C450:H450"/>
    <mergeCell ref="C451:H451"/>
    <mergeCell ref="C431:H431"/>
    <mergeCell ref="C432:H432"/>
    <mergeCell ref="C433:H433"/>
    <mergeCell ref="C434:H434"/>
    <mergeCell ref="C435:H435"/>
    <mergeCell ref="C436:H436"/>
    <mergeCell ref="C417:H417"/>
    <mergeCell ref="C419:H419"/>
    <mergeCell ref="B423:I423"/>
    <mergeCell ref="B424:H424"/>
    <mergeCell ref="I424:I441"/>
    <mergeCell ref="B425:H425"/>
    <mergeCell ref="B426:H426"/>
    <mergeCell ref="C428:H428"/>
    <mergeCell ref="C429:H429"/>
    <mergeCell ref="C430:H430"/>
    <mergeCell ref="C411:H411"/>
    <mergeCell ref="C412:H412"/>
    <mergeCell ref="C413:H413"/>
    <mergeCell ref="C414:H414"/>
    <mergeCell ref="C415:H415"/>
    <mergeCell ref="C416:H416"/>
    <mergeCell ref="B402:I402"/>
    <mergeCell ref="J402:J421"/>
    <mergeCell ref="B403:H403"/>
    <mergeCell ref="I403:I420"/>
    <mergeCell ref="B404:H404"/>
    <mergeCell ref="B405:H405"/>
    <mergeCell ref="C407:H407"/>
    <mergeCell ref="C408:H408"/>
    <mergeCell ref="C409:H409"/>
    <mergeCell ref="C410:H410"/>
    <mergeCell ref="C392:H392"/>
    <mergeCell ref="C393:H393"/>
    <mergeCell ref="C394:H394"/>
    <mergeCell ref="C395:H395"/>
    <mergeCell ref="C396:H396"/>
    <mergeCell ref="C398:H398"/>
    <mergeCell ref="B382:H382"/>
    <mergeCell ref="I382:I399"/>
    <mergeCell ref="B383:H383"/>
    <mergeCell ref="B384:H384"/>
    <mergeCell ref="C386:H386"/>
    <mergeCell ref="C387:H387"/>
    <mergeCell ref="C388:H388"/>
    <mergeCell ref="C389:H389"/>
    <mergeCell ref="C390:H390"/>
    <mergeCell ref="C391:H391"/>
    <mergeCell ref="C372:H372"/>
    <mergeCell ref="C373:H373"/>
    <mergeCell ref="C374:H374"/>
    <mergeCell ref="C375:H375"/>
    <mergeCell ref="C377:H377"/>
    <mergeCell ref="B381:I381"/>
    <mergeCell ref="C366:H366"/>
    <mergeCell ref="C367:H367"/>
    <mergeCell ref="C368:H368"/>
    <mergeCell ref="C369:H369"/>
    <mergeCell ref="C370:H370"/>
    <mergeCell ref="C371:H371"/>
    <mergeCell ref="C352:H352"/>
    <mergeCell ref="C353:H353"/>
    <mergeCell ref="C354:H354"/>
    <mergeCell ref="C356:H356"/>
    <mergeCell ref="B360:I360"/>
    <mergeCell ref="B361:H361"/>
    <mergeCell ref="I361:I378"/>
    <mergeCell ref="B362:H362"/>
    <mergeCell ref="B363:H363"/>
    <mergeCell ref="C365:H365"/>
    <mergeCell ref="C346:H346"/>
    <mergeCell ref="C347:H347"/>
    <mergeCell ref="C348:H348"/>
    <mergeCell ref="C349:H349"/>
    <mergeCell ref="C350:H350"/>
    <mergeCell ref="C351:H351"/>
    <mergeCell ref="C332:H332"/>
    <mergeCell ref="C333:H333"/>
    <mergeCell ref="C335:H335"/>
    <mergeCell ref="B339:I339"/>
    <mergeCell ref="B340:H340"/>
    <mergeCell ref="I340:I357"/>
    <mergeCell ref="B341:H341"/>
    <mergeCell ref="B342:H342"/>
    <mergeCell ref="C344:H344"/>
    <mergeCell ref="C345:H345"/>
    <mergeCell ref="C326:H326"/>
    <mergeCell ref="C327:H327"/>
    <mergeCell ref="C328:H328"/>
    <mergeCell ref="C329:H329"/>
    <mergeCell ref="C330:H330"/>
    <mergeCell ref="C331:H331"/>
    <mergeCell ref="C312:H312"/>
    <mergeCell ref="C314:H314"/>
    <mergeCell ref="B318:I318"/>
    <mergeCell ref="B319:H319"/>
    <mergeCell ref="I319:I336"/>
    <mergeCell ref="B320:H320"/>
    <mergeCell ref="B321:H321"/>
    <mergeCell ref="C323:H323"/>
    <mergeCell ref="C324:H324"/>
    <mergeCell ref="C325:H325"/>
    <mergeCell ref="C306:H306"/>
    <mergeCell ref="C307:H307"/>
    <mergeCell ref="C308:H308"/>
    <mergeCell ref="C309:H309"/>
    <mergeCell ref="C310:H310"/>
    <mergeCell ref="C311:H311"/>
    <mergeCell ref="C293:H293"/>
    <mergeCell ref="B297:I297"/>
    <mergeCell ref="B298:H298"/>
    <mergeCell ref="I298:I315"/>
    <mergeCell ref="B299:H299"/>
    <mergeCell ref="B300:H300"/>
    <mergeCell ref="C302:H302"/>
    <mergeCell ref="C303:H303"/>
    <mergeCell ref="C304:H304"/>
    <mergeCell ref="C305:H305"/>
    <mergeCell ref="C286:H286"/>
    <mergeCell ref="C287:H287"/>
    <mergeCell ref="C288:H288"/>
    <mergeCell ref="C289:H289"/>
    <mergeCell ref="C290:H290"/>
    <mergeCell ref="C291:H291"/>
    <mergeCell ref="B276:I276"/>
    <mergeCell ref="B277:H277"/>
    <mergeCell ref="I277:I294"/>
    <mergeCell ref="B278:H278"/>
    <mergeCell ref="B279:H279"/>
    <mergeCell ref="C281:H281"/>
    <mergeCell ref="C282:H282"/>
    <mergeCell ref="C283:H283"/>
    <mergeCell ref="C284:H284"/>
    <mergeCell ref="C285:H285"/>
    <mergeCell ref="C266:H266"/>
    <mergeCell ref="C267:H267"/>
    <mergeCell ref="C268:H268"/>
    <mergeCell ref="C269:H269"/>
    <mergeCell ref="C270:H270"/>
    <mergeCell ref="C272:H272"/>
    <mergeCell ref="B256:H256"/>
    <mergeCell ref="I256:I273"/>
    <mergeCell ref="B257:H257"/>
    <mergeCell ref="B258:H258"/>
    <mergeCell ref="C260:H260"/>
    <mergeCell ref="C261:H261"/>
    <mergeCell ref="C262:H262"/>
    <mergeCell ref="C263:H263"/>
    <mergeCell ref="C264:H264"/>
    <mergeCell ref="C265:H265"/>
    <mergeCell ref="C246:H246"/>
    <mergeCell ref="C247:H247"/>
    <mergeCell ref="C248:H248"/>
    <mergeCell ref="C249:H249"/>
    <mergeCell ref="C251:H251"/>
    <mergeCell ref="B255:I255"/>
    <mergeCell ref="C240:H240"/>
    <mergeCell ref="C241:H241"/>
    <mergeCell ref="C242:H242"/>
    <mergeCell ref="C243:H243"/>
    <mergeCell ref="C244:H244"/>
    <mergeCell ref="C245:H245"/>
    <mergeCell ref="C226:H226"/>
    <mergeCell ref="C227:H227"/>
    <mergeCell ref="C228:H228"/>
    <mergeCell ref="C230:H230"/>
    <mergeCell ref="B234:I234"/>
    <mergeCell ref="B235:H235"/>
    <mergeCell ref="I235:I252"/>
    <mergeCell ref="B236:H236"/>
    <mergeCell ref="B237:H237"/>
    <mergeCell ref="C239:H239"/>
    <mergeCell ref="C220:H220"/>
    <mergeCell ref="C221:H221"/>
    <mergeCell ref="C222:H222"/>
    <mergeCell ref="C223:H223"/>
    <mergeCell ref="C224:H224"/>
    <mergeCell ref="C225:H225"/>
    <mergeCell ref="C207:H207"/>
    <mergeCell ref="C209:H209"/>
    <mergeCell ref="B213:I213"/>
    <mergeCell ref="J213:J232"/>
    <mergeCell ref="B214:H214"/>
    <mergeCell ref="I214:I231"/>
    <mergeCell ref="B215:H215"/>
    <mergeCell ref="B216:H216"/>
    <mergeCell ref="C218:H218"/>
    <mergeCell ref="C219:H219"/>
    <mergeCell ref="C201:H201"/>
    <mergeCell ref="C202:H202"/>
    <mergeCell ref="C203:H203"/>
    <mergeCell ref="C204:H204"/>
    <mergeCell ref="C205:H205"/>
    <mergeCell ref="C206:H206"/>
    <mergeCell ref="C188:H188"/>
    <mergeCell ref="B192:I192"/>
    <mergeCell ref="B193:H193"/>
    <mergeCell ref="I193:I210"/>
    <mergeCell ref="B194:H194"/>
    <mergeCell ref="B195:H195"/>
    <mergeCell ref="C197:H197"/>
    <mergeCell ref="C198:H198"/>
    <mergeCell ref="C199:H199"/>
    <mergeCell ref="C200:H200"/>
    <mergeCell ref="C181:H181"/>
    <mergeCell ref="C182:H182"/>
    <mergeCell ref="C183:H183"/>
    <mergeCell ref="C184:H184"/>
    <mergeCell ref="C185:H185"/>
    <mergeCell ref="C186:H186"/>
    <mergeCell ref="B171:I171"/>
    <mergeCell ref="B172:H172"/>
    <mergeCell ref="I172:I189"/>
    <mergeCell ref="B173:H173"/>
    <mergeCell ref="B174:H174"/>
    <mergeCell ref="C176:H176"/>
    <mergeCell ref="C177:H177"/>
    <mergeCell ref="C178:H178"/>
    <mergeCell ref="C179:H179"/>
    <mergeCell ref="C180:H180"/>
    <mergeCell ref="C161:H161"/>
    <mergeCell ref="C162:H162"/>
    <mergeCell ref="C163:H163"/>
    <mergeCell ref="C164:H164"/>
    <mergeCell ref="C165:H165"/>
    <mergeCell ref="C167:H167"/>
    <mergeCell ref="B151:H151"/>
    <mergeCell ref="I151:I168"/>
    <mergeCell ref="B152:H152"/>
    <mergeCell ref="B153:H153"/>
    <mergeCell ref="C155:H155"/>
    <mergeCell ref="C156:H156"/>
    <mergeCell ref="C157:H157"/>
    <mergeCell ref="C158:H158"/>
    <mergeCell ref="C159:H159"/>
    <mergeCell ref="C160:H160"/>
    <mergeCell ref="C141:H141"/>
    <mergeCell ref="C142:H142"/>
    <mergeCell ref="C143:H143"/>
    <mergeCell ref="C144:H144"/>
    <mergeCell ref="C146:H146"/>
    <mergeCell ref="B150:I150"/>
    <mergeCell ref="C135:H135"/>
    <mergeCell ref="C136:H136"/>
    <mergeCell ref="C137:H137"/>
    <mergeCell ref="C138:H138"/>
    <mergeCell ref="C139:H139"/>
    <mergeCell ref="C140:H140"/>
    <mergeCell ref="C121:H121"/>
    <mergeCell ref="C122:H122"/>
    <mergeCell ref="C123:H123"/>
    <mergeCell ref="C125:H125"/>
    <mergeCell ref="B129:I129"/>
    <mergeCell ref="B130:H130"/>
    <mergeCell ref="I130:I147"/>
    <mergeCell ref="B131:H131"/>
    <mergeCell ref="B132:H132"/>
    <mergeCell ref="C134:H134"/>
    <mergeCell ref="C115:H115"/>
    <mergeCell ref="C116:H116"/>
    <mergeCell ref="C117:H117"/>
    <mergeCell ref="C118:H118"/>
    <mergeCell ref="C119:H119"/>
    <mergeCell ref="C120:H120"/>
    <mergeCell ref="C101:H101"/>
    <mergeCell ref="C102:H102"/>
    <mergeCell ref="C104:H104"/>
    <mergeCell ref="B108:I108"/>
    <mergeCell ref="B109:H109"/>
    <mergeCell ref="I109:I126"/>
    <mergeCell ref="B110:H110"/>
    <mergeCell ref="B111:H111"/>
    <mergeCell ref="C113:H113"/>
    <mergeCell ref="C114:H114"/>
    <mergeCell ref="C95:H95"/>
    <mergeCell ref="C96:H96"/>
    <mergeCell ref="C97:H97"/>
    <mergeCell ref="C98:H98"/>
    <mergeCell ref="C99:H99"/>
    <mergeCell ref="C100:H100"/>
    <mergeCell ref="C81:H81"/>
    <mergeCell ref="C83:H83"/>
    <mergeCell ref="B87:I87"/>
    <mergeCell ref="B88:H88"/>
    <mergeCell ref="I88:I105"/>
    <mergeCell ref="B89:H89"/>
    <mergeCell ref="B90:H90"/>
    <mergeCell ref="C92:H92"/>
    <mergeCell ref="C93:H93"/>
    <mergeCell ref="C94:H94"/>
    <mergeCell ref="C75:H75"/>
    <mergeCell ref="C76:H76"/>
    <mergeCell ref="C77:H77"/>
    <mergeCell ref="C78:H78"/>
    <mergeCell ref="C79:H79"/>
    <mergeCell ref="C80:H80"/>
    <mergeCell ref="C62:H62"/>
    <mergeCell ref="B66:I66"/>
    <mergeCell ref="B67:H67"/>
    <mergeCell ref="I67:I84"/>
    <mergeCell ref="B68:H68"/>
    <mergeCell ref="B69:H69"/>
    <mergeCell ref="C71:H71"/>
    <mergeCell ref="C72:H72"/>
    <mergeCell ref="C73:H73"/>
    <mergeCell ref="C74:H74"/>
    <mergeCell ref="C55:H55"/>
    <mergeCell ref="C56:H56"/>
    <mergeCell ref="C57:H57"/>
    <mergeCell ref="C58:H58"/>
    <mergeCell ref="C59:H59"/>
    <mergeCell ref="C60:H60"/>
    <mergeCell ref="B45:I45"/>
    <mergeCell ref="B46:H46"/>
    <mergeCell ref="I46:I63"/>
    <mergeCell ref="B47:H47"/>
    <mergeCell ref="B48:H48"/>
    <mergeCell ref="C50:H50"/>
    <mergeCell ref="C51:H51"/>
    <mergeCell ref="C52:H52"/>
    <mergeCell ref="C53:H53"/>
    <mergeCell ref="C54:H54"/>
    <mergeCell ref="C35:H35"/>
    <mergeCell ref="C36:H36"/>
    <mergeCell ref="C37:H37"/>
    <mergeCell ref="C38:H38"/>
    <mergeCell ref="C39:H39"/>
    <mergeCell ref="C41:H41"/>
    <mergeCell ref="C29:H29"/>
    <mergeCell ref="C30:H30"/>
    <mergeCell ref="C31:H31"/>
    <mergeCell ref="C32:H32"/>
    <mergeCell ref="C33:H33"/>
    <mergeCell ref="C34:H34"/>
    <mergeCell ref="C16:H16"/>
    <mergeCell ref="C17:H17"/>
    <mergeCell ref="C19:H19"/>
    <mergeCell ref="A23:A43"/>
    <mergeCell ref="B24:I24"/>
    <mergeCell ref="J24:J43"/>
    <mergeCell ref="B25:H25"/>
    <mergeCell ref="I25:I42"/>
    <mergeCell ref="B26:H26"/>
    <mergeCell ref="B27:H27"/>
    <mergeCell ref="C10:H10"/>
    <mergeCell ref="C11:H11"/>
    <mergeCell ref="C12:H12"/>
    <mergeCell ref="C13:H13"/>
    <mergeCell ref="C14:H14"/>
    <mergeCell ref="C15:H15"/>
    <mergeCell ref="A1:A21"/>
    <mergeCell ref="B2:I2"/>
    <mergeCell ref="J2:J21"/>
    <mergeCell ref="B3:H3"/>
    <mergeCell ref="I3:I20"/>
    <mergeCell ref="B4:H4"/>
    <mergeCell ref="B5:H5"/>
    <mergeCell ref="C7:H7"/>
    <mergeCell ref="C8:H8"/>
    <mergeCell ref="C9:H9"/>
  </mergeCells>
  <pageMargins left="0.15748031496062992" right="0.27559055118110237" top="0.19685039370078741" bottom="2.3199999999999998" header="0.15748031496062992" footer="0.15748031496062992"/>
  <pageSetup paperSize="9" scale="88" orientation="portrait" r:id="rId1"/>
  <headerFooter alignWithMargins="0"/>
  <rowBreaks count="21" manualBreakCount="21">
    <brk id="64" max="16383" man="1"/>
    <brk id="127" max="16383" man="1"/>
    <brk id="190" max="16383" man="1"/>
    <brk id="253" max="16383" man="1"/>
    <brk id="316" max="16383" man="1"/>
    <brk id="379" max="16383" man="1"/>
    <brk id="506" max="16383" man="1"/>
    <brk id="569" max="16383" man="1"/>
    <brk id="632" max="16383" man="1"/>
    <brk id="695" max="16383" man="1"/>
    <brk id="758" max="16383" man="1"/>
    <brk id="821" max="16383" man="1"/>
    <brk id="884" max="16383" man="1"/>
    <brk id="947" max="16383" man="1"/>
    <brk id="1010" max="16383" man="1"/>
    <brk id="1073" max="16383" man="1"/>
    <brk id="1136" max="16383" man="1"/>
    <brk id="1199" max="16383" man="1"/>
    <brk id="1326" max="16383" man="1"/>
    <brk id="1389" max="16383" man="1"/>
    <brk id="145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XIV Emp card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 Singh</dc:creator>
  <cp:lastModifiedBy>Ritik Singh</cp:lastModifiedBy>
  <dcterms:created xsi:type="dcterms:W3CDTF">2026-04-29T14:53:13Z</dcterms:created>
  <dcterms:modified xsi:type="dcterms:W3CDTF">2026-04-29T14:53:33Z</dcterms:modified>
</cp:coreProperties>
</file>