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489B319C-4FF2-492F-8C14-7C71A22DE632}" xr6:coauthVersionLast="47" xr6:coauthVersionMax="47" xr10:uidLastSave="{00000000-0000-0000-0000-000000000000}"/>
  <bookViews>
    <workbookView xWindow="-108" yWindow="-108" windowWidth="23256" windowHeight="12576" xr2:uid="{99DA4700-AC83-4901-8411-003F50ACC45E}"/>
  </bookViews>
  <sheets>
    <sheet name=" Over Time FORM XXIII" sheetId="1" r:id="rId1"/>
  </sheets>
  <externalReferences>
    <externalReference r:id="rId2"/>
  </externalReferences>
  <definedNames>
    <definedName name="_xlnm._FilterDatabase" localSheetId="0" hidden="1">' Over Time FORM XXIII'!$A$12:$N$93</definedName>
    <definedName name="_xlnm.Print_Area" localSheetId="0">' Over Time FORM XXIII'!$A$2:$N$95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3" i="1" l="1"/>
  <c r="H93" i="1"/>
  <c r="K92" i="1"/>
  <c r="J92" i="1"/>
  <c r="K91" i="1"/>
  <c r="J91" i="1"/>
  <c r="J90" i="1"/>
  <c r="K90" i="1" s="1"/>
  <c r="J89" i="1"/>
  <c r="K89" i="1" s="1"/>
  <c r="K88" i="1"/>
  <c r="J88" i="1"/>
  <c r="K87" i="1"/>
  <c r="J87" i="1"/>
  <c r="J86" i="1"/>
  <c r="K86" i="1" s="1"/>
  <c r="J85" i="1"/>
  <c r="K85" i="1" s="1"/>
  <c r="K84" i="1"/>
  <c r="J84" i="1"/>
  <c r="K83" i="1"/>
  <c r="J83" i="1"/>
  <c r="J82" i="1"/>
  <c r="K82" i="1" s="1"/>
  <c r="J81" i="1"/>
  <c r="K81" i="1" s="1"/>
  <c r="K80" i="1"/>
  <c r="J80" i="1"/>
  <c r="K79" i="1"/>
  <c r="J79" i="1"/>
  <c r="J78" i="1"/>
  <c r="K78" i="1" s="1"/>
  <c r="J77" i="1"/>
  <c r="K77" i="1" s="1"/>
  <c r="K76" i="1"/>
  <c r="J76" i="1"/>
  <c r="K75" i="1"/>
  <c r="J75" i="1"/>
  <c r="J74" i="1"/>
  <c r="K74" i="1" s="1"/>
  <c r="J73" i="1"/>
  <c r="K73" i="1" s="1"/>
  <c r="K72" i="1"/>
  <c r="J72" i="1"/>
  <c r="K71" i="1"/>
  <c r="J71" i="1"/>
  <c r="J70" i="1"/>
  <c r="K70" i="1" s="1"/>
  <c r="J69" i="1"/>
  <c r="K69" i="1" s="1"/>
  <c r="K68" i="1"/>
  <c r="J68" i="1"/>
  <c r="K67" i="1"/>
  <c r="J67" i="1"/>
  <c r="J66" i="1"/>
  <c r="K66" i="1" s="1"/>
  <c r="J65" i="1"/>
  <c r="K65" i="1" s="1"/>
  <c r="K64" i="1"/>
  <c r="J64" i="1"/>
  <c r="K63" i="1"/>
  <c r="J63" i="1"/>
  <c r="J62" i="1"/>
  <c r="K62" i="1" s="1"/>
  <c r="J61" i="1"/>
  <c r="K61" i="1" s="1"/>
  <c r="K60" i="1"/>
  <c r="J60" i="1"/>
  <c r="K59" i="1"/>
  <c r="J59" i="1"/>
  <c r="J58" i="1"/>
  <c r="K58" i="1" s="1"/>
  <c r="J57" i="1"/>
  <c r="K57" i="1" s="1"/>
  <c r="K56" i="1"/>
  <c r="J56" i="1"/>
  <c r="K55" i="1"/>
  <c r="J55" i="1"/>
  <c r="J54" i="1"/>
  <c r="K54" i="1" s="1"/>
  <c r="J53" i="1"/>
  <c r="K53" i="1" s="1"/>
  <c r="K52" i="1"/>
  <c r="J52" i="1"/>
  <c r="K51" i="1"/>
  <c r="J51" i="1"/>
  <c r="J50" i="1"/>
  <c r="K50" i="1" s="1"/>
  <c r="J49" i="1"/>
  <c r="K49" i="1" s="1"/>
  <c r="K48" i="1"/>
  <c r="J48" i="1"/>
  <c r="K47" i="1"/>
  <c r="J47" i="1"/>
  <c r="J46" i="1"/>
  <c r="K46" i="1" s="1"/>
  <c r="J45" i="1"/>
  <c r="K45" i="1" s="1"/>
  <c r="K44" i="1"/>
  <c r="J44" i="1"/>
  <c r="K43" i="1"/>
  <c r="J43" i="1"/>
  <c r="J42" i="1"/>
  <c r="K42" i="1" s="1"/>
  <c r="J41" i="1"/>
  <c r="K41" i="1" s="1"/>
  <c r="K40" i="1"/>
  <c r="J40" i="1"/>
  <c r="K39" i="1"/>
  <c r="J39" i="1"/>
  <c r="J38" i="1"/>
  <c r="K38" i="1" s="1"/>
  <c r="J37" i="1"/>
  <c r="K37" i="1" s="1"/>
  <c r="K36" i="1"/>
  <c r="J36" i="1"/>
  <c r="K35" i="1"/>
  <c r="J35" i="1"/>
  <c r="J34" i="1"/>
  <c r="K34" i="1" s="1"/>
  <c r="J33" i="1"/>
  <c r="K33" i="1" s="1"/>
  <c r="K32" i="1"/>
  <c r="J32" i="1"/>
  <c r="K31" i="1"/>
  <c r="J31" i="1"/>
  <c r="J30" i="1"/>
  <c r="K30" i="1" s="1"/>
  <c r="J29" i="1"/>
  <c r="K29" i="1" s="1"/>
  <c r="K28" i="1"/>
  <c r="J28" i="1"/>
  <c r="K27" i="1"/>
  <c r="J27" i="1"/>
  <c r="J26" i="1"/>
  <c r="K26" i="1" s="1"/>
  <c r="J25" i="1"/>
  <c r="K25" i="1" s="1"/>
  <c r="K24" i="1"/>
  <c r="J24" i="1"/>
  <c r="K23" i="1"/>
  <c r="J23" i="1"/>
  <c r="J22" i="1"/>
  <c r="K22" i="1" s="1"/>
  <c r="J21" i="1"/>
  <c r="K21" i="1" s="1"/>
  <c r="K20" i="1"/>
  <c r="J20" i="1"/>
  <c r="K19" i="1"/>
  <c r="J19" i="1"/>
  <c r="J18" i="1"/>
  <c r="K18" i="1" s="1"/>
  <c r="J17" i="1"/>
  <c r="K17" i="1" s="1"/>
  <c r="K16" i="1"/>
  <c r="J16" i="1"/>
  <c r="K15" i="1"/>
  <c r="J15" i="1"/>
  <c r="J14" i="1"/>
  <c r="J93" i="1" s="1"/>
  <c r="F9" i="1"/>
  <c r="E8" i="1"/>
  <c r="D7" i="1"/>
  <c r="D6" i="1"/>
  <c r="K14" i="1" l="1"/>
  <c r="K93" i="1" s="1"/>
</calcChain>
</file>

<file path=xl/sharedStrings.xml><?xml version="1.0" encoding="utf-8"?>
<sst xmlns="http://schemas.openxmlformats.org/spreadsheetml/2006/main" count="405" uniqueCount="165">
  <si>
    <t>Register of Overtime</t>
  </si>
  <si>
    <t>Form XXIII   [See Rule 78(2)(e)]</t>
  </si>
  <si>
    <t xml:space="preserve">Name and Address of Contractor:  </t>
  </si>
  <si>
    <t xml:space="preserve">Nature and Location of Work:      </t>
  </si>
  <si>
    <t>Name and Address of Principal Employer:</t>
  </si>
  <si>
    <t>Name and Address of Establshment in/ under which Contract is Carried on:</t>
  </si>
  <si>
    <t>Sl.No.</t>
  </si>
  <si>
    <t>Name of Workmen</t>
  </si>
  <si>
    <t>Father's/ Husband's Name</t>
  </si>
  <si>
    <t>Sex</t>
  </si>
  <si>
    <t>Designation/ Nature of Employment</t>
  </si>
  <si>
    <t>Date on which overtime worked</t>
  </si>
  <si>
    <t>Total overtime worked or production in case of piece rate</t>
  </si>
  <si>
    <t>Normal Rate of Wages</t>
  </si>
  <si>
    <t>Overtime rate of Wages</t>
  </si>
  <si>
    <t>Overtime earnings</t>
  </si>
  <si>
    <t>Date on which overtime wages paid</t>
  </si>
  <si>
    <t>Remarks</t>
  </si>
  <si>
    <t>SOHANVEER</t>
  </si>
  <si>
    <t>ASHARAM</t>
  </si>
  <si>
    <t>Male</t>
  </si>
  <si>
    <t>HELPER</t>
  </si>
  <si>
    <t>With Wages</t>
  </si>
  <si>
    <t>FURKAN</t>
  </si>
  <si>
    <t>MEERU</t>
  </si>
  <si>
    <t>SOMIT KUMAR</t>
  </si>
  <si>
    <t>KALU RAM</t>
  </si>
  <si>
    <t>PAHAL SINGH</t>
  </si>
  <si>
    <t>SHUKHPAL</t>
  </si>
  <si>
    <t>RAVINDRA</t>
  </si>
  <si>
    <t>AJAY PAL</t>
  </si>
  <si>
    <t>ASLAM KHAN</t>
  </si>
  <si>
    <t>MOBARIK</t>
  </si>
  <si>
    <t>SURJEET</t>
  </si>
  <si>
    <t>AMAR SINGH</t>
  </si>
  <si>
    <t>AJAY KUMAR</t>
  </si>
  <si>
    <t>ANIL KUMAR</t>
  </si>
  <si>
    <t>HEERALAL</t>
  </si>
  <si>
    <t>SUKHPAL SINGH</t>
  </si>
  <si>
    <t>MONU KUMAR</t>
  </si>
  <si>
    <t>PITAM SINGH</t>
  </si>
  <si>
    <t>NITESH KUMAR</t>
  </si>
  <si>
    <t>TELLU RAM</t>
  </si>
  <si>
    <t>KAUSHINDRA</t>
  </si>
  <si>
    <t>ISHAM SINGH</t>
  </si>
  <si>
    <t>H.SKILLED</t>
  </si>
  <si>
    <t>SANDEEP</t>
  </si>
  <si>
    <t>RISHIPAL</t>
  </si>
  <si>
    <t>RAVI KUMAR</t>
  </si>
  <si>
    <t>GOPAL SINGH</t>
  </si>
  <si>
    <t>GOVIND</t>
  </si>
  <si>
    <t>PAWAN</t>
  </si>
  <si>
    <t>NEERAJ KUMAR</t>
  </si>
  <si>
    <t>SORAN SINGH</t>
  </si>
  <si>
    <t>MADAN SINGH</t>
  </si>
  <si>
    <t>CHATAR SINGH</t>
  </si>
  <si>
    <t>BABLU</t>
  </si>
  <si>
    <t>RAJPAL</t>
  </si>
  <si>
    <t>MUKESH</t>
  </si>
  <si>
    <t>MAMCHAND</t>
  </si>
  <si>
    <t>AKSHAY KUMAR</t>
  </si>
  <si>
    <t>SATPAL</t>
  </si>
  <si>
    <t>MONU</t>
  </si>
  <si>
    <t>MAHIPAL SINGH</t>
  </si>
  <si>
    <t>ANUJ</t>
  </si>
  <si>
    <t>SHYAM KUMAR</t>
  </si>
  <si>
    <t>ANKIT</t>
  </si>
  <si>
    <t>TELLURAM</t>
  </si>
  <si>
    <t>VIRENDRA</t>
  </si>
  <si>
    <t>CHAMAN SINGH</t>
  </si>
  <si>
    <t>SACHIN KUMAR</t>
  </si>
  <si>
    <t>SURAT SINGH</t>
  </si>
  <si>
    <t>HARUN</t>
  </si>
  <si>
    <t>RIYASAT</t>
  </si>
  <si>
    <t>ASS.MOHOMMED</t>
  </si>
  <si>
    <t>KALLU</t>
  </si>
  <si>
    <t>MUNNA</t>
  </si>
  <si>
    <t>BUDHHU</t>
  </si>
  <si>
    <t>SONU KUMAR</t>
  </si>
  <si>
    <t>KALURAM</t>
  </si>
  <si>
    <t>SHERKHAN</t>
  </si>
  <si>
    <t>JAHANGEER</t>
  </si>
  <si>
    <t>DANISH</t>
  </si>
  <si>
    <t>PARVEJ ALAM</t>
  </si>
  <si>
    <t>SAKIR ALI</t>
  </si>
  <si>
    <t>SHAKIL AHAMAD</t>
  </si>
  <si>
    <t>AASKAR</t>
  </si>
  <si>
    <t>IRFAN</t>
  </si>
  <si>
    <t>AKASH</t>
  </si>
  <si>
    <t>JAGDEESH</t>
  </si>
  <si>
    <t>SUMIT KUMAR</t>
  </si>
  <si>
    <t>SEWA RAM</t>
  </si>
  <si>
    <t>ASHISH KUMAR</t>
  </si>
  <si>
    <t>PARDEEP KUMAR</t>
  </si>
  <si>
    <t>BINTU</t>
  </si>
  <si>
    <t>OMPAL</t>
  </si>
  <si>
    <t>ABHISHEK</t>
  </si>
  <si>
    <t>PAPPU SINGH</t>
  </si>
  <si>
    <t>SHAHAVAN</t>
  </si>
  <si>
    <t>MUSTAFA</t>
  </si>
  <si>
    <t>YASHPAL</t>
  </si>
  <si>
    <t>NAKLI RAM</t>
  </si>
  <si>
    <t>MOHAMMAD AHASAN</t>
  </si>
  <si>
    <t>HASAN</t>
  </si>
  <si>
    <t>HUKUM SINGH</t>
  </si>
  <si>
    <t>SHYAM SINGH</t>
  </si>
  <si>
    <t>HIMANSHU</t>
  </si>
  <si>
    <t>KULDEEP</t>
  </si>
  <si>
    <t>SUMMARA</t>
  </si>
  <si>
    <t>DEVENDRA KUMAR</t>
  </si>
  <si>
    <t>DHARAMVEER</t>
  </si>
  <si>
    <t>JAGENDRA</t>
  </si>
  <si>
    <t>AJAYPAL</t>
  </si>
  <si>
    <t>AMIT KUMAR</t>
  </si>
  <si>
    <t>RAMPAL SINGH</t>
  </si>
  <si>
    <t>JOGENDRA KUMAR</t>
  </si>
  <si>
    <t>KARM SINGH</t>
  </si>
  <si>
    <t>SHEKHAR</t>
  </si>
  <si>
    <t>UDESH</t>
  </si>
  <si>
    <t>ANKIT KUMAR</t>
  </si>
  <si>
    <t>DHARMVEER</t>
  </si>
  <si>
    <t>KHILENDRA</t>
  </si>
  <si>
    <t>JUGDISH SINGH</t>
  </si>
  <si>
    <t>ROHIT</t>
  </si>
  <si>
    <t>RAM KARAN</t>
  </si>
  <si>
    <t>GAURAV</t>
  </si>
  <si>
    <t>SARBOJ SINGH</t>
  </si>
  <si>
    <t>AJAY</t>
  </si>
  <si>
    <t>ROSHAN</t>
  </si>
  <si>
    <t>RAKIB</t>
  </si>
  <si>
    <t>VISHAL KUMAR</t>
  </si>
  <si>
    <t>RAGHUVEER SINGH</t>
  </si>
  <si>
    <t>LEKHKHA</t>
  </si>
  <si>
    <t>RAVI</t>
  </si>
  <si>
    <t>TARA CHAND</t>
  </si>
  <si>
    <t>UJAYFA</t>
  </si>
  <si>
    <t>SABIR</t>
  </si>
  <si>
    <t>ADESH</t>
  </si>
  <si>
    <t>BALWANT SINGH</t>
  </si>
  <si>
    <t>VIMAL</t>
  </si>
  <si>
    <t>NARENDER SINGH</t>
  </si>
  <si>
    <t>NOURATU</t>
  </si>
  <si>
    <t>ABHISHEK KUMAR</t>
  </si>
  <si>
    <t>RAJPAL SINGH</t>
  </si>
  <si>
    <t>PARSHANT</t>
  </si>
  <si>
    <t>CHOTE LAL</t>
  </si>
  <si>
    <t>SANJU</t>
  </si>
  <si>
    <t>ROHIT KUMAR</t>
  </si>
  <si>
    <t>BHOPINDRA</t>
  </si>
  <si>
    <t>GIRIRAJ</t>
  </si>
  <si>
    <t>RAJAN</t>
  </si>
  <si>
    <t>VINOD</t>
  </si>
  <si>
    <t>NITIN KUMAR</t>
  </si>
  <si>
    <t>MOHAN</t>
  </si>
  <si>
    <t>JAVED</t>
  </si>
  <si>
    <t>RAFIQ KHAN</t>
  </si>
  <si>
    <t>JODHA</t>
  </si>
  <si>
    <t>NITU SINGH</t>
  </si>
  <si>
    <t>AIJAJ</t>
  </si>
  <si>
    <t>JIVAN</t>
  </si>
  <si>
    <t>VIKKI</t>
  </si>
  <si>
    <t>MANGERAM</t>
  </si>
  <si>
    <t>Place</t>
  </si>
  <si>
    <t>Signature of the Contractor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</si>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</sst>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</font>
    <font>
      <b/>
      <sz val="11"/>
      <name val="Cambria"/>
      <family val="1"/>
    </font>
    <font>
      <b/>
      <sz val="11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50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4" xfId="1" applyFont="1" applyFill="1" applyBorder="1" applyAlignment="1">
      <alignment vertical="center"/>
    </xf>
    <xf numFmtId="14" fontId="2" fillId="2" borderId="4" xfId="1" applyNumberFormat="1" applyFont="1" applyFill="1" applyBorder="1" applyAlignment="1">
      <alignment horizontal="left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0" xfId="1" applyFont="1" applyFill="1"/>
    <xf numFmtId="14" fontId="2" fillId="2" borderId="0" xfId="1" applyNumberFormat="1" applyFont="1" applyFill="1" applyAlignment="1">
      <alignment horizontal="left"/>
    </xf>
    <xf numFmtId="0" fontId="2" fillId="2" borderId="0" xfId="1" applyFont="1" applyFill="1" applyAlignment="1">
      <alignment horizontal="center"/>
    </xf>
    <xf numFmtId="17" fontId="2" fillId="3" borderId="12" xfId="0" applyNumberFormat="1" applyFont="1" applyFill="1" applyBorder="1" applyAlignment="1">
      <alignment horizontal="center"/>
    </xf>
    <xf numFmtId="0" fontId="2" fillId="2" borderId="0" xfId="1" applyFont="1" applyFill="1" applyAlignment="1">
      <alignment horizontal="left"/>
    </xf>
    <xf numFmtId="14" fontId="2" fillId="2" borderId="0" xfId="1" applyNumberFormat="1" applyFont="1" applyFill="1" applyAlignment="1">
      <alignment horizontal="center"/>
    </xf>
    <xf numFmtId="0" fontId="2" fillId="2" borderId="11" xfId="0" applyFont="1" applyFill="1" applyBorder="1" applyAlignment="1">
      <alignment vertical="center"/>
    </xf>
    <xf numFmtId="0" fontId="2" fillId="2" borderId="0" xfId="1" applyFont="1" applyFill="1" applyAlignment="1">
      <alignment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/>
    </xf>
    <xf numFmtId="0" fontId="2" fillId="2" borderId="11" xfId="0" applyFont="1" applyFill="1" applyBorder="1" applyAlignment="1">
      <alignment horizontal="center" wrapText="1"/>
    </xf>
    <xf numFmtId="0" fontId="2" fillId="2" borderId="9" xfId="0" applyFont="1" applyFill="1" applyBorder="1"/>
    <xf numFmtId="0" fontId="2" fillId="2" borderId="8" xfId="0" applyFont="1" applyFill="1" applyBorder="1"/>
    <xf numFmtId="0" fontId="2" fillId="2" borderId="8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13" xfId="0" applyFont="1" applyFill="1" applyBorder="1" applyAlignment="1">
      <alignment horizontal="center" vertical="center" wrapText="1"/>
    </xf>
    <xf numFmtId="0" fontId="2" fillId="2" borderId="13" xfId="0" applyFont="1" applyFill="1" applyBorder="1"/>
    <xf numFmtId="0" fontId="2" fillId="2" borderId="13" xfId="0" applyFont="1" applyFill="1" applyBorder="1" applyAlignment="1">
      <alignment horizontal="center"/>
    </xf>
    <xf numFmtId="0" fontId="3" fillId="0" borderId="13" xfId="0" applyFont="1" applyBorder="1" applyAlignment="1">
      <alignment horizontal="left"/>
    </xf>
    <xf numFmtId="0" fontId="5" fillId="0" borderId="13" xfId="2" quotePrefix="1" applyFont="1" applyBorder="1" applyAlignment="1">
      <alignment horizontal="center" vertical="center" shrinkToFit="1"/>
    </xf>
    <xf numFmtId="1" fontId="2" fillId="2" borderId="13" xfId="0" applyNumberFormat="1" applyFont="1" applyFill="1" applyBorder="1" applyAlignment="1">
      <alignment horizontal="center"/>
    </xf>
    <xf numFmtId="0" fontId="2" fillId="2" borderId="14" xfId="0" applyFont="1" applyFill="1" applyBorder="1"/>
    <xf numFmtId="1" fontId="2" fillId="2" borderId="0" xfId="0" applyNumberFormat="1" applyFont="1" applyFill="1" applyAlignment="1">
      <alignment horizontal="center"/>
    </xf>
    <xf numFmtId="0" fontId="2" fillId="2" borderId="11" xfId="0" applyFont="1" applyFill="1" applyBorder="1" applyAlignment="1">
      <alignment horizontal="right"/>
    </xf>
    <xf numFmtId="0" fontId="2" fillId="2" borderId="15" xfId="0" applyFont="1" applyFill="1" applyBorder="1"/>
    <xf numFmtId="0" fontId="2" fillId="2" borderId="15" xfId="0" applyFont="1" applyFill="1" applyBorder="1" applyAlignment="1">
      <alignment horizontal="center" wrapText="1"/>
    </xf>
    <xf numFmtId="0" fontId="2" fillId="2" borderId="16" xfId="0" applyFont="1" applyFill="1" applyBorder="1" applyAlignment="1">
      <alignment horizontal="center"/>
    </xf>
  </cellXfs>
  <cellStyles count="3">
    <cellStyle name="Normal" xfId="0" builtinId="0"/>
    <cellStyle name="Normal 2" xfId="2" xr:uid="{D0EA0089-4ACB-4475-9BEB-866E2CA9993D}"/>
    <cellStyle name="Normal_CLRA A.P" xfId="1" xr:uid="{97917B40-B14F-451F-8BDA-563C2A732F8D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15.%20Sorya%20Wages%20Sheet%20Dec%2025.xls" TargetMode="External"/><Relationship Id="rId1" Type="http://schemas.openxmlformats.org/officeDocument/2006/relationships/externalLinkPath" Target="/Users/Dell/Downloads/15.%20Sorya%20Wages%20Sheet%20Dec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 XIII"/>
      <sheetName val="Form XIV Emp card"/>
      <sheetName val=" Form XVI"/>
      <sheetName val=" Wages Sheet FORM XVII"/>
      <sheetName val="FORM XX"/>
      <sheetName val="Form XXI"/>
      <sheetName val="Form XXII"/>
      <sheetName val=" Over Time FORM XXIII"/>
    </sheetNames>
    <sheetDataSet>
      <sheetData sheetId="0">
        <row r="6">
          <cell r="F6" t="str">
            <v>SORYE CONTRUCTION</v>
          </cell>
        </row>
        <row r="7">
          <cell r="F7" t="str">
            <v>CIVIL WORK, LAKSAR, HARIDWAR</v>
          </cell>
        </row>
        <row r="8">
          <cell r="F8" t="str">
            <v>JK TYRE &amp; INDUSTRIES LIMITED</v>
          </cell>
        </row>
        <row r="9">
          <cell r="H9" t="str">
            <v>JK TYRE &amp; INDUSTRIES LIMITED
LAKSAR, HARIDWAR, UTTRAKHAND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C6350-1413-4A7E-A9BB-2F3F385C59A0}">
  <sheetPr>
    <tabColor theme="5"/>
  </sheetPr>
  <dimension ref="A1:N111"/>
  <sheetViews>
    <sheetView tabSelected="1" topLeftCell="A4" zoomScale="68" workbookViewId="0">
      <selection activeCell="J27" sqref="J27"/>
    </sheetView>
  </sheetViews>
  <sheetFormatPr defaultColWidth="16.77734375" defaultRowHeight="13.8" x14ac:dyDescent="0.25"/>
  <cols>
    <col min="1" max="1" width="4.33203125" style="1" customWidth="1"/>
    <col min="2" max="2" width="12.5546875" style="2" customWidth="1"/>
    <col min="3" max="3" width="22.21875" style="2" customWidth="1"/>
    <col min="4" max="4" width="24.5546875" style="2" customWidth="1"/>
    <col min="5" max="5" width="8.21875" style="2" customWidth="1"/>
    <col min="6" max="6" width="29.44140625" style="2" customWidth="1"/>
    <col min="7" max="7" width="15.21875" style="2" bestFit="1" customWidth="1"/>
    <col min="8" max="11" width="14.44140625" style="2" customWidth="1"/>
    <col min="12" max="12" width="17.5546875" style="3" bestFit="1" customWidth="1"/>
    <col min="13" max="13" width="8.21875" style="3" bestFit="1" customWidth="1"/>
    <col min="14" max="14" width="3.5546875" style="1" customWidth="1"/>
    <col min="15" max="256" width="16.77734375" style="1"/>
    <col min="257" max="257" width="4.33203125" style="1" customWidth="1"/>
    <col min="258" max="258" width="12.5546875" style="1" customWidth="1"/>
    <col min="259" max="259" width="22.21875" style="1" customWidth="1"/>
    <col min="260" max="260" width="24.5546875" style="1" customWidth="1"/>
    <col min="261" max="261" width="8.21875" style="1" customWidth="1"/>
    <col min="262" max="262" width="29.44140625" style="1" customWidth="1"/>
    <col min="263" max="263" width="15.21875" style="1" bestFit="1" customWidth="1"/>
    <col min="264" max="267" width="14.44140625" style="1" customWidth="1"/>
    <col min="268" max="268" width="17.5546875" style="1" bestFit="1" customWidth="1"/>
    <col min="269" max="269" width="8.21875" style="1" bestFit="1" customWidth="1"/>
    <col min="270" max="270" width="3.5546875" style="1" customWidth="1"/>
    <col min="271" max="512" width="16.77734375" style="1"/>
    <col min="513" max="513" width="4.33203125" style="1" customWidth="1"/>
    <col min="514" max="514" width="12.5546875" style="1" customWidth="1"/>
    <col min="515" max="515" width="22.21875" style="1" customWidth="1"/>
    <col min="516" max="516" width="24.5546875" style="1" customWidth="1"/>
    <col min="517" max="517" width="8.21875" style="1" customWidth="1"/>
    <col min="518" max="518" width="29.44140625" style="1" customWidth="1"/>
    <col min="519" max="519" width="15.21875" style="1" bestFit="1" customWidth="1"/>
    <col min="520" max="523" width="14.44140625" style="1" customWidth="1"/>
    <col min="524" max="524" width="17.5546875" style="1" bestFit="1" customWidth="1"/>
    <col min="525" max="525" width="8.21875" style="1" bestFit="1" customWidth="1"/>
    <col min="526" max="526" width="3.5546875" style="1" customWidth="1"/>
    <col min="527" max="768" width="16.77734375" style="1"/>
    <col min="769" max="769" width="4.33203125" style="1" customWidth="1"/>
    <col min="770" max="770" width="12.5546875" style="1" customWidth="1"/>
    <col min="771" max="771" width="22.21875" style="1" customWidth="1"/>
    <col min="772" max="772" width="24.5546875" style="1" customWidth="1"/>
    <col min="773" max="773" width="8.21875" style="1" customWidth="1"/>
    <col min="774" max="774" width="29.44140625" style="1" customWidth="1"/>
    <col min="775" max="775" width="15.21875" style="1" bestFit="1" customWidth="1"/>
    <col min="776" max="779" width="14.44140625" style="1" customWidth="1"/>
    <col min="780" max="780" width="17.5546875" style="1" bestFit="1" customWidth="1"/>
    <col min="781" max="781" width="8.21875" style="1" bestFit="1" customWidth="1"/>
    <col min="782" max="782" width="3.5546875" style="1" customWidth="1"/>
    <col min="783" max="1024" width="16.77734375" style="1"/>
    <col min="1025" max="1025" width="4.33203125" style="1" customWidth="1"/>
    <col min="1026" max="1026" width="12.5546875" style="1" customWidth="1"/>
    <col min="1027" max="1027" width="22.21875" style="1" customWidth="1"/>
    <col min="1028" max="1028" width="24.5546875" style="1" customWidth="1"/>
    <col min="1029" max="1029" width="8.21875" style="1" customWidth="1"/>
    <col min="1030" max="1030" width="29.44140625" style="1" customWidth="1"/>
    <col min="1031" max="1031" width="15.21875" style="1" bestFit="1" customWidth="1"/>
    <col min="1032" max="1035" width="14.44140625" style="1" customWidth="1"/>
    <col min="1036" max="1036" width="17.5546875" style="1" bestFit="1" customWidth="1"/>
    <col min="1037" max="1037" width="8.21875" style="1" bestFit="1" customWidth="1"/>
    <col min="1038" max="1038" width="3.5546875" style="1" customWidth="1"/>
    <col min="1039" max="1280" width="16.77734375" style="1"/>
    <col min="1281" max="1281" width="4.33203125" style="1" customWidth="1"/>
    <col min="1282" max="1282" width="12.5546875" style="1" customWidth="1"/>
    <col min="1283" max="1283" width="22.21875" style="1" customWidth="1"/>
    <col min="1284" max="1284" width="24.5546875" style="1" customWidth="1"/>
    <col min="1285" max="1285" width="8.21875" style="1" customWidth="1"/>
    <col min="1286" max="1286" width="29.44140625" style="1" customWidth="1"/>
    <col min="1287" max="1287" width="15.21875" style="1" bestFit="1" customWidth="1"/>
    <col min="1288" max="1291" width="14.44140625" style="1" customWidth="1"/>
    <col min="1292" max="1292" width="17.5546875" style="1" bestFit="1" customWidth="1"/>
    <col min="1293" max="1293" width="8.21875" style="1" bestFit="1" customWidth="1"/>
    <col min="1294" max="1294" width="3.5546875" style="1" customWidth="1"/>
    <col min="1295" max="1536" width="16.77734375" style="1"/>
    <col min="1537" max="1537" width="4.33203125" style="1" customWidth="1"/>
    <col min="1538" max="1538" width="12.5546875" style="1" customWidth="1"/>
    <col min="1539" max="1539" width="22.21875" style="1" customWidth="1"/>
    <col min="1540" max="1540" width="24.5546875" style="1" customWidth="1"/>
    <col min="1541" max="1541" width="8.21875" style="1" customWidth="1"/>
    <col min="1542" max="1542" width="29.44140625" style="1" customWidth="1"/>
    <col min="1543" max="1543" width="15.21875" style="1" bestFit="1" customWidth="1"/>
    <col min="1544" max="1547" width="14.44140625" style="1" customWidth="1"/>
    <col min="1548" max="1548" width="17.5546875" style="1" bestFit="1" customWidth="1"/>
    <col min="1549" max="1549" width="8.21875" style="1" bestFit="1" customWidth="1"/>
    <col min="1550" max="1550" width="3.5546875" style="1" customWidth="1"/>
    <col min="1551" max="1792" width="16.77734375" style="1"/>
    <col min="1793" max="1793" width="4.33203125" style="1" customWidth="1"/>
    <col min="1794" max="1794" width="12.5546875" style="1" customWidth="1"/>
    <col min="1795" max="1795" width="22.21875" style="1" customWidth="1"/>
    <col min="1796" max="1796" width="24.5546875" style="1" customWidth="1"/>
    <col min="1797" max="1797" width="8.21875" style="1" customWidth="1"/>
    <col min="1798" max="1798" width="29.44140625" style="1" customWidth="1"/>
    <col min="1799" max="1799" width="15.21875" style="1" bestFit="1" customWidth="1"/>
    <col min="1800" max="1803" width="14.44140625" style="1" customWidth="1"/>
    <col min="1804" max="1804" width="17.5546875" style="1" bestFit="1" customWidth="1"/>
    <col min="1805" max="1805" width="8.21875" style="1" bestFit="1" customWidth="1"/>
    <col min="1806" max="1806" width="3.5546875" style="1" customWidth="1"/>
    <col min="1807" max="2048" width="16.77734375" style="1"/>
    <col min="2049" max="2049" width="4.33203125" style="1" customWidth="1"/>
    <col min="2050" max="2050" width="12.5546875" style="1" customWidth="1"/>
    <col min="2051" max="2051" width="22.21875" style="1" customWidth="1"/>
    <col min="2052" max="2052" width="24.5546875" style="1" customWidth="1"/>
    <col min="2053" max="2053" width="8.21875" style="1" customWidth="1"/>
    <col min="2054" max="2054" width="29.44140625" style="1" customWidth="1"/>
    <col min="2055" max="2055" width="15.21875" style="1" bestFit="1" customWidth="1"/>
    <col min="2056" max="2059" width="14.44140625" style="1" customWidth="1"/>
    <col min="2060" max="2060" width="17.5546875" style="1" bestFit="1" customWidth="1"/>
    <col min="2061" max="2061" width="8.21875" style="1" bestFit="1" customWidth="1"/>
    <col min="2062" max="2062" width="3.5546875" style="1" customWidth="1"/>
    <col min="2063" max="2304" width="16.77734375" style="1"/>
    <col min="2305" max="2305" width="4.33203125" style="1" customWidth="1"/>
    <col min="2306" max="2306" width="12.5546875" style="1" customWidth="1"/>
    <col min="2307" max="2307" width="22.21875" style="1" customWidth="1"/>
    <col min="2308" max="2308" width="24.5546875" style="1" customWidth="1"/>
    <col min="2309" max="2309" width="8.21875" style="1" customWidth="1"/>
    <col min="2310" max="2310" width="29.44140625" style="1" customWidth="1"/>
    <col min="2311" max="2311" width="15.21875" style="1" bestFit="1" customWidth="1"/>
    <col min="2312" max="2315" width="14.44140625" style="1" customWidth="1"/>
    <col min="2316" max="2316" width="17.5546875" style="1" bestFit="1" customWidth="1"/>
    <col min="2317" max="2317" width="8.21875" style="1" bestFit="1" customWidth="1"/>
    <col min="2318" max="2318" width="3.5546875" style="1" customWidth="1"/>
    <col min="2319" max="2560" width="16.77734375" style="1"/>
    <col min="2561" max="2561" width="4.33203125" style="1" customWidth="1"/>
    <col min="2562" max="2562" width="12.5546875" style="1" customWidth="1"/>
    <col min="2563" max="2563" width="22.21875" style="1" customWidth="1"/>
    <col min="2564" max="2564" width="24.5546875" style="1" customWidth="1"/>
    <col min="2565" max="2565" width="8.21875" style="1" customWidth="1"/>
    <col min="2566" max="2566" width="29.44140625" style="1" customWidth="1"/>
    <col min="2567" max="2567" width="15.21875" style="1" bestFit="1" customWidth="1"/>
    <col min="2568" max="2571" width="14.44140625" style="1" customWidth="1"/>
    <col min="2572" max="2572" width="17.5546875" style="1" bestFit="1" customWidth="1"/>
    <col min="2573" max="2573" width="8.21875" style="1" bestFit="1" customWidth="1"/>
    <col min="2574" max="2574" width="3.5546875" style="1" customWidth="1"/>
    <col min="2575" max="2816" width="16.77734375" style="1"/>
    <col min="2817" max="2817" width="4.33203125" style="1" customWidth="1"/>
    <col min="2818" max="2818" width="12.5546875" style="1" customWidth="1"/>
    <col min="2819" max="2819" width="22.21875" style="1" customWidth="1"/>
    <col min="2820" max="2820" width="24.5546875" style="1" customWidth="1"/>
    <col min="2821" max="2821" width="8.21875" style="1" customWidth="1"/>
    <col min="2822" max="2822" width="29.44140625" style="1" customWidth="1"/>
    <col min="2823" max="2823" width="15.21875" style="1" bestFit="1" customWidth="1"/>
    <col min="2824" max="2827" width="14.44140625" style="1" customWidth="1"/>
    <col min="2828" max="2828" width="17.5546875" style="1" bestFit="1" customWidth="1"/>
    <col min="2829" max="2829" width="8.21875" style="1" bestFit="1" customWidth="1"/>
    <col min="2830" max="2830" width="3.5546875" style="1" customWidth="1"/>
    <col min="2831" max="3072" width="16.77734375" style="1"/>
    <col min="3073" max="3073" width="4.33203125" style="1" customWidth="1"/>
    <col min="3074" max="3074" width="12.5546875" style="1" customWidth="1"/>
    <col min="3075" max="3075" width="22.21875" style="1" customWidth="1"/>
    <col min="3076" max="3076" width="24.5546875" style="1" customWidth="1"/>
    <col min="3077" max="3077" width="8.21875" style="1" customWidth="1"/>
    <col min="3078" max="3078" width="29.44140625" style="1" customWidth="1"/>
    <col min="3079" max="3079" width="15.21875" style="1" bestFit="1" customWidth="1"/>
    <col min="3080" max="3083" width="14.44140625" style="1" customWidth="1"/>
    <col min="3084" max="3084" width="17.5546875" style="1" bestFit="1" customWidth="1"/>
    <col min="3085" max="3085" width="8.21875" style="1" bestFit="1" customWidth="1"/>
    <col min="3086" max="3086" width="3.5546875" style="1" customWidth="1"/>
    <col min="3087" max="3328" width="16.77734375" style="1"/>
    <col min="3329" max="3329" width="4.33203125" style="1" customWidth="1"/>
    <col min="3330" max="3330" width="12.5546875" style="1" customWidth="1"/>
    <col min="3331" max="3331" width="22.21875" style="1" customWidth="1"/>
    <col min="3332" max="3332" width="24.5546875" style="1" customWidth="1"/>
    <col min="3333" max="3333" width="8.21875" style="1" customWidth="1"/>
    <col min="3334" max="3334" width="29.44140625" style="1" customWidth="1"/>
    <col min="3335" max="3335" width="15.21875" style="1" bestFit="1" customWidth="1"/>
    <col min="3336" max="3339" width="14.44140625" style="1" customWidth="1"/>
    <col min="3340" max="3340" width="17.5546875" style="1" bestFit="1" customWidth="1"/>
    <col min="3341" max="3341" width="8.21875" style="1" bestFit="1" customWidth="1"/>
    <col min="3342" max="3342" width="3.5546875" style="1" customWidth="1"/>
    <col min="3343" max="3584" width="16.77734375" style="1"/>
    <col min="3585" max="3585" width="4.33203125" style="1" customWidth="1"/>
    <col min="3586" max="3586" width="12.5546875" style="1" customWidth="1"/>
    <col min="3587" max="3587" width="22.21875" style="1" customWidth="1"/>
    <col min="3588" max="3588" width="24.5546875" style="1" customWidth="1"/>
    <col min="3589" max="3589" width="8.21875" style="1" customWidth="1"/>
    <col min="3590" max="3590" width="29.44140625" style="1" customWidth="1"/>
    <col min="3591" max="3591" width="15.21875" style="1" bestFit="1" customWidth="1"/>
    <col min="3592" max="3595" width="14.44140625" style="1" customWidth="1"/>
    <col min="3596" max="3596" width="17.5546875" style="1" bestFit="1" customWidth="1"/>
    <col min="3597" max="3597" width="8.21875" style="1" bestFit="1" customWidth="1"/>
    <col min="3598" max="3598" width="3.5546875" style="1" customWidth="1"/>
    <col min="3599" max="3840" width="16.77734375" style="1"/>
    <col min="3841" max="3841" width="4.33203125" style="1" customWidth="1"/>
    <col min="3842" max="3842" width="12.5546875" style="1" customWidth="1"/>
    <col min="3843" max="3843" width="22.21875" style="1" customWidth="1"/>
    <col min="3844" max="3844" width="24.5546875" style="1" customWidth="1"/>
    <col min="3845" max="3845" width="8.21875" style="1" customWidth="1"/>
    <col min="3846" max="3846" width="29.44140625" style="1" customWidth="1"/>
    <col min="3847" max="3847" width="15.21875" style="1" bestFit="1" customWidth="1"/>
    <col min="3848" max="3851" width="14.44140625" style="1" customWidth="1"/>
    <col min="3852" max="3852" width="17.5546875" style="1" bestFit="1" customWidth="1"/>
    <col min="3853" max="3853" width="8.21875" style="1" bestFit="1" customWidth="1"/>
    <col min="3854" max="3854" width="3.5546875" style="1" customWidth="1"/>
    <col min="3855" max="4096" width="16.77734375" style="1"/>
    <col min="4097" max="4097" width="4.33203125" style="1" customWidth="1"/>
    <col min="4098" max="4098" width="12.5546875" style="1" customWidth="1"/>
    <col min="4099" max="4099" width="22.21875" style="1" customWidth="1"/>
    <col min="4100" max="4100" width="24.5546875" style="1" customWidth="1"/>
    <col min="4101" max="4101" width="8.21875" style="1" customWidth="1"/>
    <col min="4102" max="4102" width="29.44140625" style="1" customWidth="1"/>
    <col min="4103" max="4103" width="15.21875" style="1" bestFit="1" customWidth="1"/>
    <col min="4104" max="4107" width="14.44140625" style="1" customWidth="1"/>
    <col min="4108" max="4108" width="17.5546875" style="1" bestFit="1" customWidth="1"/>
    <col min="4109" max="4109" width="8.21875" style="1" bestFit="1" customWidth="1"/>
    <col min="4110" max="4110" width="3.5546875" style="1" customWidth="1"/>
    <col min="4111" max="4352" width="16.77734375" style="1"/>
    <col min="4353" max="4353" width="4.33203125" style="1" customWidth="1"/>
    <col min="4354" max="4354" width="12.5546875" style="1" customWidth="1"/>
    <col min="4355" max="4355" width="22.21875" style="1" customWidth="1"/>
    <col min="4356" max="4356" width="24.5546875" style="1" customWidth="1"/>
    <col min="4357" max="4357" width="8.21875" style="1" customWidth="1"/>
    <col min="4358" max="4358" width="29.44140625" style="1" customWidth="1"/>
    <col min="4359" max="4359" width="15.21875" style="1" bestFit="1" customWidth="1"/>
    <col min="4360" max="4363" width="14.44140625" style="1" customWidth="1"/>
    <col min="4364" max="4364" width="17.5546875" style="1" bestFit="1" customWidth="1"/>
    <col min="4365" max="4365" width="8.21875" style="1" bestFit="1" customWidth="1"/>
    <col min="4366" max="4366" width="3.5546875" style="1" customWidth="1"/>
    <col min="4367" max="4608" width="16.77734375" style="1"/>
    <col min="4609" max="4609" width="4.33203125" style="1" customWidth="1"/>
    <col min="4610" max="4610" width="12.5546875" style="1" customWidth="1"/>
    <col min="4611" max="4611" width="22.21875" style="1" customWidth="1"/>
    <col min="4612" max="4612" width="24.5546875" style="1" customWidth="1"/>
    <col min="4613" max="4613" width="8.21875" style="1" customWidth="1"/>
    <col min="4614" max="4614" width="29.44140625" style="1" customWidth="1"/>
    <col min="4615" max="4615" width="15.21875" style="1" bestFit="1" customWidth="1"/>
    <col min="4616" max="4619" width="14.44140625" style="1" customWidth="1"/>
    <col min="4620" max="4620" width="17.5546875" style="1" bestFit="1" customWidth="1"/>
    <col min="4621" max="4621" width="8.21875" style="1" bestFit="1" customWidth="1"/>
    <col min="4622" max="4622" width="3.5546875" style="1" customWidth="1"/>
    <col min="4623" max="4864" width="16.77734375" style="1"/>
    <col min="4865" max="4865" width="4.33203125" style="1" customWidth="1"/>
    <col min="4866" max="4866" width="12.5546875" style="1" customWidth="1"/>
    <col min="4867" max="4867" width="22.21875" style="1" customWidth="1"/>
    <col min="4868" max="4868" width="24.5546875" style="1" customWidth="1"/>
    <col min="4869" max="4869" width="8.21875" style="1" customWidth="1"/>
    <col min="4870" max="4870" width="29.44140625" style="1" customWidth="1"/>
    <col min="4871" max="4871" width="15.21875" style="1" bestFit="1" customWidth="1"/>
    <col min="4872" max="4875" width="14.44140625" style="1" customWidth="1"/>
    <col min="4876" max="4876" width="17.5546875" style="1" bestFit="1" customWidth="1"/>
    <col min="4877" max="4877" width="8.21875" style="1" bestFit="1" customWidth="1"/>
    <col min="4878" max="4878" width="3.5546875" style="1" customWidth="1"/>
    <col min="4879" max="5120" width="16.77734375" style="1"/>
    <col min="5121" max="5121" width="4.33203125" style="1" customWidth="1"/>
    <col min="5122" max="5122" width="12.5546875" style="1" customWidth="1"/>
    <col min="5123" max="5123" width="22.21875" style="1" customWidth="1"/>
    <col min="5124" max="5124" width="24.5546875" style="1" customWidth="1"/>
    <col min="5125" max="5125" width="8.21875" style="1" customWidth="1"/>
    <col min="5126" max="5126" width="29.44140625" style="1" customWidth="1"/>
    <col min="5127" max="5127" width="15.21875" style="1" bestFit="1" customWidth="1"/>
    <col min="5128" max="5131" width="14.44140625" style="1" customWidth="1"/>
    <col min="5132" max="5132" width="17.5546875" style="1" bestFit="1" customWidth="1"/>
    <col min="5133" max="5133" width="8.21875" style="1" bestFit="1" customWidth="1"/>
    <col min="5134" max="5134" width="3.5546875" style="1" customWidth="1"/>
    <col min="5135" max="5376" width="16.77734375" style="1"/>
    <col min="5377" max="5377" width="4.33203125" style="1" customWidth="1"/>
    <col min="5378" max="5378" width="12.5546875" style="1" customWidth="1"/>
    <col min="5379" max="5379" width="22.21875" style="1" customWidth="1"/>
    <col min="5380" max="5380" width="24.5546875" style="1" customWidth="1"/>
    <col min="5381" max="5381" width="8.21875" style="1" customWidth="1"/>
    <col min="5382" max="5382" width="29.44140625" style="1" customWidth="1"/>
    <col min="5383" max="5383" width="15.21875" style="1" bestFit="1" customWidth="1"/>
    <col min="5384" max="5387" width="14.44140625" style="1" customWidth="1"/>
    <col min="5388" max="5388" width="17.5546875" style="1" bestFit="1" customWidth="1"/>
    <col min="5389" max="5389" width="8.21875" style="1" bestFit="1" customWidth="1"/>
    <col min="5390" max="5390" width="3.5546875" style="1" customWidth="1"/>
    <col min="5391" max="5632" width="16.77734375" style="1"/>
    <col min="5633" max="5633" width="4.33203125" style="1" customWidth="1"/>
    <col min="5634" max="5634" width="12.5546875" style="1" customWidth="1"/>
    <col min="5635" max="5635" width="22.21875" style="1" customWidth="1"/>
    <col min="5636" max="5636" width="24.5546875" style="1" customWidth="1"/>
    <col min="5637" max="5637" width="8.21875" style="1" customWidth="1"/>
    <col min="5638" max="5638" width="29.44140625" style="1" customWidth="1"/>
    <col min="5639" max="5639" width="15.21875" style="1" bestFit="1" customWidth="1"/>
    <col min="5640" max="5643" width="14.44140625" style="1" customWidth="1"/>
    <col min="5644" max="5644" width="17.5546875" style="1" bestFit="1" customWidth="1"/>
    <col min="5645" max="5645" width="8.21875" style="1" bestFit="1" customWidth="1"/>
    <col min="5646" max="5646" width="3.5546875" style="1" customWidth="1"/>
    <col min="5647" max="5888" width="16.77734375" style="1"/>
    <col min="5889" max="5889" width="4.33203125" style="1" customWidth="1"/>
    <col min="5890" max="5890" width="12.5546875" style="1" customWidth="1"/>
    <col min="5891" max="5891" width="22.21875" style="1" customWidth="1"/>
    <col min="5892" max="5892" width="24.5546875" style="1" customWidth="1"/>
    <col min="5893" max="5893" width="8.21875" style="1" customWidth="1"/>
    <col min="5894" max="5894" width="29.44140625" style="1" customWidth="1"/>
    <col min="5895" max="5895" width="15.21875" style="1" bestFit="1" customWidth="1"/>
    <col min="5896" max="5899" width="14.44140625" style="1" customWidth="1"/>
    <col min="5900" max="5900" width="17.5546875" style="1" bestFit="1" customWidth="1"/>
    <col min="5901" max="5901" width="8.21875" style="1" bestFit="1" customWidth="1"/>
    <col min="5902" max="5902" width="3.5546875" style="1" customWidth="1"/>
    <col min="5903" max="6144" width="16.77734375" style="1"/>
    <col min="6145" max="6145" width="4.33203125" style="1" customWidth="1"/>
    <col min="6146" max="6146" width="12.5546875" style="1" customWidth="1"/>
    <col min="6147" max="6147" width="22.21875" style="1" customWidth="1"/>
    <col min="6148" max="6148" width="24.5546875" style="1" customWidth="1"/>
    <col min="6149" max="6149" width="8.21875" style="1" customWidth="1"/>
    <col min="6150" max="6150" width="29.44140625" style="1" customWidth="1"/>
    <col min="6151" max="6151" width="15.21875" style="1" bestFit="1" customWidth="1"/>
    <col min="6152" max="6155" width="14.44140625" style="1" customWidth="1"/>
    <col min="6156" max="6156" width="17.5546875" style="1" bestFit="1" customWidth="1"/>
    <col min="6157" max="6157" width="8.21875" style="1" bestFit="1" customWidth="1"/>
    <col min="6158" max="6158" width="3.5546875" style="1" customWidth="1"/>
    <col min="6159" max="6400" width="16.77734375" style="1"/>
    <col min="6401" max="6401" width="4.33203125" style="1" customWidth="1"/>
    <col min="6402" max="6402" width="12.5546875" style="1" customWidth="1"/>
    <col min="6403" max="6403" width="22.21875" style="1" customWidth="1"/>
    <col min="6404" max="6404" width="24.5546875" style="1" customWidth="1"/>
    <col min="6405" max="6405" width="8.21875" style="1" customWidth="1"/>
    <col min="6406" max="6406" width="29.44140625" style="1" customWidth="1"/>
    <col min="6407" max="6407" width="15.21875" style="1" bestFit="1" customWidth="1"/>
    <col min="6408" max="6411" width="14.44140625" style="1" customWidth="1"/>
    <col min="6412" max="6412" width="17.5546875" style="1" bestFit="1" customWidth="1"/>
    <col min="6413" max="6413" width="8.21875" style="1" bestFit="1" customWidth="1"/>
    <col min="6414" max="6414" width="3.5546875" style="1" customWidth="1"/>
    <col min="6415" max="6656" width="16.77734375" style="1"/>
    <col min="6657" max="6657" width="4.33203125" style="1" customWidth="1"/>
    <col min="6658" max="6658" width="12.5546875" style="1" customWidth="1"/>
    <col min="6659" max="6659" width="22.21875" style="1" customWidth="1"/>
    <col min="6660" max="6660" width="24.5546875" style="1" customWidth="1"/>
    <col min="6661" max="6661" width="8.21875" style="1" customWidth="1"/>
    <col min="6662" max="6662" width="29.44140625" style="1" customWidth="1"/>
    <col min="6663" max="6663" width="15.21875" style="1" bestFit="1" customWidth="1"/>
    <col min="6664" max="6667" width="14.44140625" style="1" customWidth="1"/>
    <col min="6668" max="6668" width="17.5546875" style="1" bestFit="1" customWidth="1"/>
    <col min="6669" max="6669" width="8.21875" style="1" bestFit="1" customWidth="1"/>
    <col min="6670" max="6670" width="3.5546875" style="1" customWidth="1"/>
    <col min="6671" max="6912" width="16.77734375" style="1"/>
    <col min="6913" max="6913" width="4.33203125" style="1" customWidth="1"/>
    <col min="6914" max="6914" width="12.5546875" style="1" customWidth="1"/>
    <col min="6915" max="6915" width="22.21875" style="1" customWidth="1"/>
    <col min="6916" max="6916" width="24.5546875" style="1" customWidth="1"/>
    <col min="6917" max="6917" width="8.21875" style="1" customWidth="1"/>
    <col min="6918" max="6918" width="29.44140625" style="1" customWidth="1"/>
    <col min="6919" max="6919" width="15.21875" style="1" bestFit="1" customWidth="1"/>
    <col min="6920" max="6923" width="14.44140625" style="1" customWidth="1"/>
    <col min="6924" max="6924" width="17.5546875" style="1" bestFit="1" customWidth="1"/>
    <col min="6925" max="6925" width="8.21875" style="1" bestFit="1" customWidth="1"/>
    <col min="6926" max="6926" width="3.5546875" style="1" customWidth="1"/>
    <col min="6927" max="7168" width="16.77734375" style="1"/>
    <col min="7169" max="7169" width="4.33203125" style="1" customWidth="1"/>
    <col min="7170" max="7170" width="12.5546875" style="1" customWidth="1"/>
    <col min="7171" max="7171" width="22.21875" style="1" customWidth="1"/>
    <col min="7172" max="7172" width="24.5546875" style="1" customWidth="1"/>
    <col min="7173" max="7173" width="8.21875" style="1" customWidth="1"/>
    <col min="7174" max="7174" width="29.44140625" style="1" customWidth="1"/>
    <col min="7175" max="7175" width="15.21875" style="1" bestFit="1" customWidth="1"/>
    <col min="7176" max="7179" width="14.44140625" style="1" customWidth="1"/>
    <col min="7180" max="7180" width="17.5546875" style="1" bestFit="1" customWidth="1"/>
    <col min="7181" max="7181" width="8.21875" style="1" bestFit="1" customWidth="1"/>
    <col min="7182" max="7182" width="3.5546875" style="1" customWidth="1"/>
    <col min="7183" max="7424" width="16.77734375" style="1"/>
    <col min="7425" max="7425" width="4.33203125" style="1" customWidth="1"/>
    <col min="7426" max="7426" width="12.5546875" style="1" customWidth="1"/>
    <col min="7427" max="7427" width="22.21875" style="1" customWidth="1"/>
    <col min="7428" max="7428" width="24.5546875" style="1" customWidth="1"/>
    <col min="7429" max="7429" width="8.21875" style="1" customWidth="1"/>
    <col min="7430" max="7430" width="29.44140625" style="1" customWidth="1"/>
    <col min="7431" max="7431" width="15.21875" style="1" bestFit="1" customWidth="1"/>
    <col min="7432" max="7435" width="14.44140625" style="1" customWidth="1"/>
    <col min="7436" max="7436" width="17.5546875" style="1" bestFit="1" customWidth="1"/>
    <col min="7437" max="7437" width="8.21875" style="1" bestFit="1" customWidth="1"/>
    <col min="7438" max="7438" width="3.5546875" style="1" customWidth="1"/>
    <col min="7439" max="7680" width="16.77734375" style="1"/>
    <col min="7681" max="7681" width="4.33203125" style="1" customWidth="1"/>
    <col min="7682" max="7682" width="12.5546875" style="1" customWidth="1"/>
    <col min="7683" max="7683" width="22.21875" style="1" customWidth="1"/>
    <col min="7684" max="7684" width="24.5546875" style="1" customWidth="1"/>
    <col min="7685" max="7685" width="8.21875" style="1" customWidth="1"/>
    <col min="7686" max="7686" width="29.44140625" style="1" customWidth="1"/>
    <col min="7687" max="7687" width="15.21875" style="1" bestFit="1" customWidth="1"/>
    <col min="7688" max="7691" width="14.44140625" style="1" customWidth="1"/>
    <col min="7692" max="7692" width="17.5546875" style="1" bestFit="1" customWidth="1"/>
    <col min="7693" max="7693" width="8.21875" style="1" bestFit="1" customWidth="1"/>
    <col min="7694" max="7694" width="3.5546875" style="1" customWidth="1"/>
    <col min="7695" max="7936" width="16.77734375" style="1"/>
    <col min="7937" max="7937" width="4.33203125" style="1" customWidth="1"/>
    <col min="7938" max="7938" width="12.5546875" style="1" customWidth="1"/>
    <col min="7939" max="7939" width="22.21875" style="1" customWidth="1"/>
    <col min="7940" max="7940" width="24.5546875" style="1" customWidth="1"/>
    <col min="7941" max="7941" width="8.21875" style="1" customWidth="1"/>
    <col min="7942" max="7942" width="29.44140625" style="1" customWidth="1"/>
    <col min="7943" max="7943" width="15.21875" style="1" bestFit="1" customWidth="1"/>
    <col min="7944" max="7947" width="14.44140625" style="1" customWidth="1"/>
    <col min="7948" max="7948" width="17.5546875" style="1" bestFit="1" customWidth="1"/>
    <col min="7949" max="7949" width="8.21875" style="1" bestFit="1" customWidth="1"/>
    <col min="7950" max="7950" width="3.5546875" style="1" customWidth="1"/>
    <col min="7951" max="8192" width="16.77734375" style="1"/>
    <col min="8193" max="8193" width="4.33203125" style="1" customWidth="1"/>
    <col min="8194" max="8194" width="12.5546875" style="1" customWidth="1"/>
    <col min="8195" max="8195" width="22.21875" style="1" customWidth="1"/>
    <col min="8196" max="8196" width="24.5546875" style="1" customWidth="1"/>
    <col min="8197" max="8197" width="8.21875" style="1" customWidth="1"/>
    <col min="8198" max="8198" width="29.44140625" style="1" customWidth="1"/>
    <col min="8199" max="8199" width="15.21875" style="1" bestFit="1" customWidth="1"/>
    <col min="8200" max="8203" width="14.44140625" style="1" customWidth="1"/>
    <col min="8204" max="8204" width="17.5546875" style="1" bestFit="1" customWidth="1"/>
    <col min="8205" max="8205" width="8.21875" style="1" bestFit="1" customWidth="1"/>
    <col min="8206" max="8206" width="3.5546875" style="1" customWidth="1"/>
    <col min="8207" max="8448" width="16.77734375" style="1"/>
    <col min="8449" max="8449" width="4.33203125" style="1" customWidth="1"/>
    <col min="8450" max="8450" width="12.5546875" style="1" customWidth="1"/>
    <col min="8451" max="8451" width="22.21875" style="1" customWidth="1"/>
    <col min="8452" max="8452" width="24.5546875" style="1" customWidth="1"/>
    <col min="8453" max="8453" width="8.21875" style="1" customWidth="1"/>
    <col min="8454" max="8454" width="29.44140625" style="1" customWidth="1"/>
    <col min="8455" max="8455" width="15.21875" style="1" bestFit="1" customWidth="1"/>
    <col min="8456" max="8459" width="14.44140625" style="1" customWidth="1"/>
    <col min="8460" max="8460" width="17.5546875" style="1" bestFit="1" customWidth="1"/>
    <col min="8461" max="8461" width="8.21875" style="1" bestFit="1" customWidth="1"/>
    <col min="8462" max="8462" width="3.5546875" style="1" customWidth="1"/>
    <col min="8463" max="8704" width="16.77734375" style="1"/>
    <col min="8705" max="8705" width="4.33203125" style="1" customWidth="1"/>
    <col min="8706" max="8706" width="12.5546875" style="1" customWidth="1"/>
    <col min="8707" max="8707" width="22.21875" style="1" customWidth="1"/>
    <col min="8708" max="8708" width="24.5546875" style="1" customWidth="1"/>
    <col min="8709" max="8709" width="8.21875" style="1" customWidth="1"/>
    <col min="8710" max="8710" width="29.44140625" style="1" customWidth="1"/>
    <col min="8711" max="8711" width="15.21875" style="1" bestFit="1" customWidth="1"/>
    <col min="8712" max="8715" width="14.44140625" style="1" customWidth="1"/>
    <col min="8716" max="8716" width="17.5546875" style="1" bestFit="1" customWidth="1"/>
    <col min="8717" max="8717" width="8.21875" style="1" bestFit="1" customWidth="1"/>
    <col min="8718" max="8718" width="3.5546875" style="1" customWidth="1"/>
    <col min="8719" max="8960" width="16.77734375" style="1"/>
    <col min="8961" max="8961" width="4.33203125" style="1" customWidth="1"/>
    <col min="8962" max="8962" width="12.5546875" style="1" customWidth="1"/>
    <col min="8963" max="8963" width="22.21875" style="1" customWidth="1"/>
    <col min="8964" max="8964" width="24.5546875" style="1" customWidth="1"/>
    <col min="8965" max="8965" width="8.21875" style="1" customWidth="1"/>
    <col min="8966" max="8966" width="29.44140625" style="1" customWidth="1"/>
    <col min="8967" max="8967" width="15.21875" style="1" bestFit="1" customWidth="1"/>
    <col min="8968" max="8971" width="14.44140625" style="1" customWidth="1"/>
    <col min="8972" max="8972" width="17.5546875" style="1" bestFit="1" customWidth="1"/>
    <col min="8973" max="8973" width="8.21875" style="1" bestFit="1" customWidth="1"/>
    <col min="8974" max="8974" width="3.5546875" style="1" customWidth="1"/>
    <col min="8975" max="9216" width="16.77734375" style="1"/>
    <col min="9217" max="9217" width="4.33203125" style="1" customWidth="1"/>
    <col min="9218" max="9218" width="12.5546875" style="1" customWidth="1"/>
    <col min="9219" max="9219" width="22.21875" style="1" customWidth="1"/>
    <col min="9220" max="9220" width="24.5546875" style="1" customWidth="1"/>
    <col min="9221" max="9221" width="8.21875" style="1" customWidth="1"/>
    <col min="9222" max="9222" width="29.44140625" style="1" customWidth="1"/>
    <col min="9223" max="9223" width="15.21875" style="1" bestFit="1" customWidth="1"/>
    <col min="9224" max="9227" width="14.44140625" style="1" customWidth="1"/>
    <col min="9228" max="9228" width="17.5546875" style="1" bestFit="1" customWidth="1"/>
    <col min="9229" max="9229" width="8.21875" style="1" bestFit="1" customWidth="1"/>
    <col min="9230" max="9230" width="3.5546875" style="1" customWidth="1"/>
    <col min="9231" max="9472" width="16.77734375" style="1"/>
    <col min="9473" max="9473" width="4.33203125" style="1" customWidth="1"/>
    <col min="9474" max="9474" width="12.5546875" style="1" customWidth="1"/>
    <col min="9475" max="9475" width="22.21875" style="1" customWidth="1"/>
    <col min="9476" max="9476" width="24.5546875" style="1" customWidth="1"/>
    <col min="9477" max="9477" width="8.21875" style="1" customWidth="1"/>
    <col min="9478" max="9478" width="29.44140625" style="1" customWidth="1"/>
    <col min="9479" max="9479" width="15.21875" style="1" bestFit="1" customWidth="1"/>
    <col min="9480" max="9483" width="14.44140625" style="1" customWidth="1"/>
    <col min="9484" max="9484" width="17.5546875" style="1" bestFit="1" customWidth="1"/>
    <col min="9485" max="9485" width="8.21875" style="1" bestFit="1" customWidth="1"/>
    <col min="9486" max="9486" width="3.5546875" style="1" customWidth="1"/>
    <col min="9487" max="9728" width="16.77734375" style="1"/>
    <col min="9729" max="9729" width="4.33203125" style="1" customWidth="1"/>
    <col min="9730" max="9730" width="12.5546875" style="1" customWidth="1"/>
    <col min="9731" max="9731" width="22.21875" style="1" customWidth="1"/>
    <col min="9732" max="9732" width="24.5546875" style="1" customWidth="1"/>
    <col min="9733" max="9733" width="8.21875" style="1" customWidth="1"/>
    <col min="9734" max="9734" width="29.44140625" style="1" customWidth="1"/>
    <col min="9735" max="9735" width="15.21875" style="1" bestFit="1" customWidth="1"/>
    <col min="9736" max="9739" width="14.44140625" style="1" customWidth="1"/>
    <col min="9740" max="9740" width="17.5546875" style="1" bestFit="1" customWidth="1"/>
    <col min="9741" max="9741" width="8.21875" style="1" bestFit="1" customWidth="1"/>
    <col min="9742" max="9742" width="3.5546875" style="1" customWidth="1"/>
    <col min="9743" max="9984" width="16.77734375" style="1"/>
    <col min="9985" max="9985" width="4.33203125" style="1" customWidth="1"/>
    <col min="9986" max="9986" width="12.5546875" style="1" customWidth="1"/>
    <col min="9987" max="9987" width="22.21875" style="1" customWidth="1"/>
    <col min="9988" max="9988" width="24.5546875" style="1" customWidth="1"/>
    <col min="9989" max="9989" width="8.21875" style="1" customWidth="1"/>
    <col min="9990" max="9990" width="29.44140625" style="1" customWidth="1"/>
    <col min="9991" max="9991" width="15.21875" style="1" bestFit="1" customWidth="1"/>
    <col min="9992" max="9995" width="14.44140625" style="1" customWidth="1"/>
    <col min="9996" max="9996" width="17.5546875" style="1" bestFit="1" customWidth="1"/>
    <col min="9997" max="9997" width="8.21875" style="1" bestFit="1" customWidth="1"/>
    <col min="9998" max="9998" width="3.5546875" style="1" customWidth="1"/>
    <col min="9999" max="10240" width="16.77734375" style="1"/>
    <col min="10241" max="10241" width="4.33203125" style="1" customWidth="1"/>
    <col min="10242" max="10242" width="12.5546875" style="1" customWidth="1"/>
    <col min="10243" max="10243" width="22.21875" style="1" customWidth="1"/>
    <col min="10244" max="10244" width="24.5546875" style="1" customWidth="1"/>
    <col min="10245" max="10245" width="8.21875" style="1" customWidth="1"/>
    <col min="10246" max="10246" width="29.44140625" style="1" customWidth="1"/>
    <col min="10247" max="10247" width="15.21875" style="1" bestFit="1" customWidth="1"/>
    <col min="10248" max="10251" width="14.44140625" style="1" customWidth="1"/>
    <col min="10252" max="10252" width="17.5546875" style="1" bestFit="1" customWidth="1"/>
    <col min="10253" max="10253" width="8.21875" style="1" bestFit="1" customWidth="1"/>
    <col min="10254" max="10254" width="3.5546875" style="1" customWidth="1"/>
    <col min="10255" max="10496" width="16.77734375" style="1"/>
    <col min="10497" max="10497" width="4.33203125" style="1" customWidth="1"/>
    <col min="10498" max="10498" width="12.5546875" style="1" customWidth="1"/>
    <col min="10499" max="10499" width="22.21875" style="1" customWidth="1"/>
    <col min="10500" max="10500" width="24.5546875" style="1" customWidth="1"/>
    <col min="10501" max="10501" width="8.21875" style="1" customWidth="1"/>
    <col min="10502" max="10502" width="29.44140625" style="1" customWidth="1"/>
    <col min="10503" max="10503" width="15.21875" style="1" bestFit="1" customWidth="1"/>
    <col min="10504" max="10507" width="14.44140625" style="1" customWidth="1"/>
    <col min="10508" max="10508" width="17.5546875" style="1" bestFit="1" customWidth="1"/>
    <col min="10509" max="10509" width="8.21875" style="1" bestFit="1" customWidth="1"/>
    <col min="10510" max="10510" width="3.5546875" style="1" customWidth="1"/>
    <col min="10511" max="10752" width="16.77734375" style="1"/>
    <col min="10753" max="10753" width="4.33203125" style="1" customWidth="1"/>
    <col min="10754" max="10754" width="12.5546875" style="1" customWidth="1"/>
    <col min="10755" max="10755" width="22.21875" style="1" customWidth="1"/>
    <col min="10756" max="10756" width="24.5546875" style="1" customWidth="1"/>
    <col min="10757" max="10757" width="8.21875" style="1" customWidth="1"/>
    <col min="10758" max="10758" width="29.44140625" style="1" customWidth="1"/>
    <col min="10759" max="10759" width="15.21875" style="1" bestFit="1" customWidth="1"/>
    <col min="10760" max="10763" width="14.44140625" style="1" customWidth="1"/>
    <col min="10764" max="10764" width="17.5546875" style="1" bestFit="1" customWidth="1"/>
    <col min="10765" max="10765" width="8.21875" style="1" bestFit="1" customWidth="1"/>
    <col min="10766" max="10766" width="3.5546875" style="1" customWidth="1"/>
    <col min="10767" max="11008" width="16.77734375" style="1"/>
    <col min="11009" max="11009" width="4.33203125" style="1" customWidth="1"/>
    <col min="11010" max="11010" width="12.5546875" style="1" customWidth="1"/>
    <col min="11011" max="11011" width="22.21875" style="1" customWidth="1"/>
    <col min="11012" max="11012" width="24.5546875" style="1" customWidth="1"/>
    <col min="11013" max="11013" width="8.21875" style="1" customWidth="1"/>
    <col min="11014" max="11014" width="29.44140625" style="1" customWidth="1"/>
    <col min="11015" max="11015" width="15.21875" style="1" bestFit="1" customWidth="1"/>
    <col min="11016" max="11019" width="14.44140625" style="1" customWidth="1"/>
    <col min="11020" max="11020" width="17.5546875" style="1" bestFit="1" customWidth="1"/>
    <col min="11021" max="11021" width="8.21875" style="1" bestFit="1" customWidth="1"/>
    <col min="11022" max="11022" width="3.5546875" style="1" customWidth="1"/>
    <col min="11023" max="11264" width="16.77734375" style="1"/>
    <col min="11265" max="11265" width="4.33203125" style="1" customWidth="1"/>
    <col min="11266" max="11266" width="12.5546875" style="1" customWidth="1"/>
    <col min="11267" max="11267" width="22.21875" style="1" customWidth="1"/>
    <col min="11268" max="11268" width="24.5546875" style="1" customWidth="1"/>
    <col min="11269" max="11269" width="8.21875" style="1" customWidth="1"/>
    <col min="11270" max="11270" width="29.44140625" style="1" customWidth="1"/>
    <col min="11271" max="11271" width="15.21875" style="1" bestFit="1" customWidth="1"/>
    <col min="11272" max="11275" width="14.44140625" style="1" customWidth="1"/>
    <col min="11276" max="11276" width="17.5546875" style="1" bestFit="1" customWidth="1"/>
    <col min="11277" max="11277" width="8.21875" style="1" bestFit="1" customWidth="1"/>
    <col min="11278" max="11278" width="3.5546875" style="1" customWidth="1"/>
    <col min="11279" max="11520" width="16.77734375" style="1"/>
    <col min="11521" max="11521" width="4.33203125" style="1" customWidth="1"/>
    <col min="11522" max="11522" width="12.5546875" style="1" customWidth="1"/>
    <col min="11523" max="11523" width="22.21875" style="1" customWidth="1"/>
    <col min="11524" max="11524" width="24.5546875" style="1" customWidth="1"/>
    <col min="11525" max="11525" width="8.21875" style="1" customWidth="1"/>
    <col min="11526" max="11526" width="29.44140625" style="1" customWidth="1"/>
    <col min="11527" max="11527" width="15.21875" style="1" bestFit="1" customWidth="1"/>
    <col min="11528" max="11531" width="14.44140625" style="1" customWidth="1"/>
    <col min="11532" max="11532" width="17.5546875" style="1" bestFit="1" customWidth="1"/>
    <col min="11533" max="11533" width="8.21875" style="1" bestFit="1" customWidth="1"/>
    <col min="11534" max="11534" width="3.5546875" style="1" customWidth="1"/>
    <col min="11535" max="11776" width="16.77734375" style="1"/>
    <col min="11777" max="11777" width="4.33203125" style="1" customWidth="1"/>
    <col min="11778" max="11778" width="12.5546875" style="1" customWidth="1"/>
    <col min="11779" max="11779" width="22.21875" style="1" customWidth="1"/>
    <col min="11780" max="11780" width="24.5546875" style="1" customWidth="1"/>
    <col min="11781" max="11781" width="8.21875" style="1" customWidth="1"/>
    <col min="11782" max="11782" width="29.44140625" style="1" customWidth="1"/>
    <col min="11783" max="11783" width="15.21875" style="1" bestFit="1" customWidth="1"/>
    <col min="11784" max="11787" width="14.44140625" style="1" customWidth="1"/>
    <col min="11788" max="11788" width="17.5546875" style="1" bestFit="1" customWidth="1"/>
    <col min="11789" max="11789" width="8.21875" style="1" bestFit="1" customWidth="1"/>
    <col min="11790" max="11790" width="3.5546875" style="1" customWidth="1"/>
    <col min="11791" max="12032" width="16.77734375" style="1"/>
    <col min="12033" max="12033" width="4.33203125" style="1" customWidth="1"/>
    <col min="12034" max="12034" width="12.5546875" style="1" customWidth="1"/>
    <col min="12035" max="12035" width="22.21875" style="1" customWidth="1"/>
    <col min="12036" max="12036" width="24.5546875" style="1" customWidth="1"/>
    <col min="12037" max="12037" width="8.21875" style="1" customWidth="1"/>
    <col min="12038" max="12038" width="29.44140625" style="1" customWidth="1"/>
    <col min="12039" max="12039" width="15.21875" style="1" bestFit="1" customWidth="1"/>
    <col min="12040" max="12043" width="14.44140625" style="1" customWidth="1"/>
    <col min="12044" max="12044" width="17.5546875" style="1" bestFit="1" customWidth="1"/>
    <col min="12045" max="12045" width="8.21875" style="1" bestFit="1" customWidth="1"/>
    <col min="12046" max="12046" width="3.5546875" style="1" customWidth="1"/>
    <col min="12047" max="12288" width="16.77734375" style="1"/>
    <col min="12289" max="12289" width="4.33203125" style="1" customWidth="1"/>
    <col min="12290" max="12290" width="12.5546875" style="1" customWidth="1"/>
    <col min="12291" max="12291" width="22.21875" style="1" customWidth="1"/>
    <col min="12292" max="12292" width="24.5546875" style="1" customWidth="1"/>
    <col min="12293" max="12293" width="8.21875" style="1" customWidth="1"/>
    <col min="12294" max="12294" width="29.44140625" style="1" customWidth="1"/>
    <col min="12295" max="12295" width="15.21875" style="1" bestFit="1" customWidth="1"/>
    <col min="12296" max="12299" width="14.44140625" style="1" customWidth="1"/>
    <col min="12300" max="12300" width="17.5546875" style="1" bestFit="1" customWidth="1"/>
    <col min="12301" max="12301" width="8.21875" style="1" bestFit="1" customWidth="1"/>
    <col min="12302" max="12302" width="3.5546875" style="1" customWidth="1"/>
    <col min="12303" max="12544" width="16.77734375" style="1"/>
    <col min="12545" max="12545" width="4.33203125" style="1" customWidth="1"/>
    <col min="12546" max="12546" width="12.5546875" style="1" customWidth="1"/>
    <col min="12547" max="12547" width="22.21875" style="1" customWidth="1"/>
    <col min="12548" max="12548" width="24.5546875" style="1" customWidth="1"/>
    <col min="12549" max="12549" width="8.21875" style="1" customWidth="1"/>
    <col min="12550" max="12550" width="29.44140625" style="1" customWidth="1"/>
    <col min="12551" max="12551" width="15.21875" style="1" bestFit="1" customWidth="1"/>
    <col min="12552" max="12555" width="14.44140625" style="1" customWidth="1"/>
    <col min="12556" max="12556" width="17.5546875" style="1" bestFit="1" customWidth="1"/>
    <col min="12557" max="12557" width="8.21875" style="1" bestFit="1" customWidth="1"/>
    <col min="12558" max="12558" width="3.5546875" style="1" customWidth="1"/>
    <col min="12559" max="12800" width="16.77734375" style="1"/>
    <col min="12801" max="12801" width="4.33203125" style="1" customWidth="1"/>
    <col min="12802" max="12802" width="12.5546875" style="1" customWidth="1"/>
    <col min="12803" max="12803" width="22.21875" style="1" customWidth="1"/>
    <col min="12804" max="12804" width="24.5546875" style="1" customWidth="1"/>
    <col min="12805" max="12805" width="8.21875" style="1" customWidth="1"/>
    <col min="12806" max="12806" width="29.44140625" style="1" customWidth="1"/>
    <col min="12807" max="12807" width="15.21875" style="1" bestFit="1" customWidth="1"/>
    <col min="12808" max="12811" width="14.44140625" style="1" customWidth="1"/>
    <col min="12812" max="12812" width="17.5546875" style="1" bestFit="1" customWidth="1"/>
    <col min="12813" max="12813" width="8.21875" style="1" bestFit="1" customWidth="1"/>
    <col min="12814" max="12814" width="3.5546875" style="1" customWidth="1"/>
    <col min="12815" max="13056" width="16.77734375" style="1"/>
    <col min="13057" max="13057" width="4.33203125" style="1" customWidth="1"/>
    <col min="13058" max="13058" width="12.5546875" style="1" customWidth="1"/>
    <col min="13059" max="13059" width="22.21875" style="1" customWidth="1"/>
    <col min="13060" max="13060" width="24.5546875" style="1" customWidth="1"/>
    <col min="13061" max="13061" width="8.21875" style="1" customWidth="1"/>
    <col min="13062" max="13062" width="29.44140625" style="1" customWidth="1"/>
    <col min="13063" max="13063" width="15.21875" style="1" bestFit="1" customWidth="1"/>
    <col min="13064" max="13067" width="14.44140625" style="1" customWidth="1"/>
    <col min="13068" max="13068" width="17.5546875" style="1" bestFit="1" customWidth="1"/>
    <col min="13069" max="13069" width="8.21875" style="1" bestFit="1" customWidth="1"/>
    <col min="13070" max="13070" width="3.5546875" style="1" customWidth="1"/>
    <col min="13071" max="13312" width="16.77734375" style="1"/>
    <col min="13313" max="13313" width="4.33203125" style="1" customWidth="1"/>
    <col min="13314" max="13314" width="12.5546875" style="1" customWidth="1"/>
    <col min="13315" max="13315" width="22.21875" style="1" customWidth="1"/>
    <col min="13316" max="13316" width="24.5546875" style="1" customWidth="1"/>
    <col min="13317" max="13317" width="8.21875" style="1" customWidth="1"/>
    <col min="13318" max="13318" width="29.44140625" style="1" customWidth="1"/>
    <col min="13319" max="13319" width="15.21875" style="1" bestFit="1" customWidth="1"/>
    <col min="13320" max="13323" width="14.44140625" style="1" customWidth="1"/>
    <col min="13324" max="13324" width="17.5546875" style="1" bestFit="1" customWidth="1"/>
    <col min="13325" max="13325" width="8.21875" style="1" bestFit="1" customWidth="1"/>
    <col min="13326" max="13326" width="3.5546875" style="1" customWidth="1"/>
    <col min="13327" max="13568" width="16.77734375" style="1"/>
    <col min="13569" max="13569" width="4.33203125" style="1" customWidth="1"/>
    <col min="13570" max="13570" width="12.5546875" style="1" customWidth="1"/>
    <col min="13571" max="13571" width="22.21875" style="1" customWidth="1"/>
    <col min="13572" max="13572" width="24.5546875" style="1" customWidth="1"/>
    <col min="13573" max="13573" width="8.21875" style="1" customWidth="1"/>
    <col min="13574" max="13574" width="29.44140625" style="1" customWidth="1"/>
    <col min="13575" max="13575" width="15.21875" style="1" bestFit="1" customWidth="1"/>
    <col min="13576" max="13579" width="14.44140625" style="1" customWidth="1"/>
    <col min="13580" max="13580" width="17.5546875" style="1" bestFit="1" customWidth="1"/>
    <col min="13581" max="13581" width="8.21875" style="1" bestFit="1" customWidth="1"/>
    <col min="13582" max="13582" width="3.5546875" style="1" customWidth="1"/>
    <col min="13583" max="13824" width="16.77734375" style="1"/>
    <col min="13825" max="13825" width="4.33203125" style="1" customWidth="1"/>
    <col min="13826" max="13826" width="12.5546875" style="1" customWidth="1"/>
    <col min="13827" max="13827" width="22.21875" style="1" customWidth="1"/>
    <col min="13828" max="13828" width="24.5546875" style="1" customWidth="1"/>
    <col min="13829" max="13829" width="8.21875" style="1" customWidth="1"/>
    <col min="13830" max="13830" width="29.44140625" style="1" customWidth="1"/>
    <col min="13831" max="13831" width="15.21875" style="1" bestFit="1" customWidth="1"/>
    <col min="13832" max="13835" width="14.44140625" style="1" customWidth="1"/>
    <col min="13836" max="13836" width="17.5546875" style="1" bestFit="1" customWidth="1"/>
    <col min="13837" max="13837" width="8.21875" style="1" bestFit="1" customWidth="1"/>
    <col min="13838" max="13838" width="3.5546875" style="1" customWidth="1"/>
    <col min="13839" max="14080" width="16.77734375" style="1"/>
    <col min="14081" max="14081" width="4.33203125" style="1" customWidth="1"/>
    <col min="14082" max="14082" width="12.5546875" style="1" customWidth="1"/>
    <col min="14083" max="14083" width="22.21875" style="1" customWidth="1"/>
    <col min="14084" max="14084" width="24.5546875" style="1" customWidth="1"/>
    <col min="14085" max="14085" width="8.21875" style="1" customWidth="1"/>
    <col min="14086" max="14086" width="29.44140625" style="1" customWidth="1"/>
    <col min="14087" max="14087" width="15.21875" style="1" bestFit="1" customWidth="1"/>
    <col min="14088" max="14091" width="14.44140625" style="1" customWidth="1"/>
    <col min="14092" max="14092" width="17.5546875" style="1" bestFit="1" customWidth="1"/>
    <col min="14093" max="14093" width="8.21875" style="1" bestFit="1" customWidth="1"/>
    <col min="14094" max="14094" width="3.5546875" style="1" customWidth="1"/>
    <col min="14095" max="14336" width="16.77734375" style="1"/>
    <col min="14337" max="14337" width="4.33203125" style="1" customWidth="1"/>
    <col min="14338" max="14338" width="12.5546875" style="1" customWidth="1"/>
    <col min="14339" max="14339" width="22.21875" style="1" customWidth="1"/>
    <col min="14340" max="14340" width="24.5546875" style="1" customWidth="1"/>
    <col min="14341" max="14341" width="8.21875" style="1" customWidth="1"/>
    <col min="14342" max="14342" width="29.44140625" style="1" customWidth="1"/>
    <col min="14343" max="14343" width="15.21875" style="1" bestFit="1" customWidth="1"/>
    <col min="14344" max="14347" width="14.44140625" style="1" customWidth="1"/>
    <col min="14348" max="14348" width="17.5546875" style="1" bestFit="1" customWidth="1"/>
    <col min="14349" max="14349" width="8.21875" style="1" bestFit="1" customWidth="1"/>
    <col min="14350" max="14350" width="3.5546875" style="1" customWidth="1"/>
    <col min="14351" max="14592" width="16.77734375" style="1"/>
    <col min="14593" max="14593" width="4.33203125" style="1" customWidth="1"/>
    <col min="14594" max="14594" width="12.5546875" style="1" customWidth="1"/>
    <col min="14595" max="14595" width="22.21875" style="1" customWidth="1"/>
    <col min="14596" max="14596" width="24.5546875" style="1" customWidth="1"/>
    <col min="14597" max="14597" width="8.21875" style="1" customWidth="1"/>
    <col min="14598" max="14598" width="29.44140625" style="1" customWidth="1"/>
    <col min="14599" max="14599" width="15.21875" style="1" bestFit="1" customWidth="1"/>
    <col min="14600" max="14603" width="14.44140625" style="1" customWidth="1"/>
    <col min="14604" max="14604" width="17.5546875" style="1" bestFit="1" customWidth="1"/>
    <col min="14605" max="14605" width="8.21875" style="1" bestFit="1" customWidth="1"/>
    <col min="14606" max="14606" width="3.5546875" style="1" customWidth="1"/>
    <col min="14607" max="14848" width="16.77734375" style="1"/>
    <col min="14849" max="14849" width="4.33203125" style="1" customWidth="1"/>
    <col min="14850" max="14850" width="12.5546875" style="1" customWidth="1"/>
    <col min="14851" max="14851" width="22.21875" style="1" customWidth="1"/>
    <col min="14852" max="14852" width="24.5546875" style="1" customWidth="1"/>
    <col min="14853" max="14853" width="8.21875" style="1" customWidth="1"/>
    <col min="14854" max="14854" width="29.44140625" style="1" customWidth="1"/>
    <col min="14855" max="14855" width="15.21875" style="1" bestFit="1" customWidth="1"/>
    <col min="14856" max="14859" width="14.44140625" style="1" customWidth="1"/>
    <col min="14860" max="14860" width="17.5546875" style="1" bestFit="1" customWidth="1"/>
    <col min="14861" max="14861" width="8.21875" style="1" bestFit="1" customWidth="1"/>
    <col min="14862" max="14862" width="3.5546875" style="1" customWidth="1"/>
    <col min="14863" max="15104" width="16.77734375" style="1"/>
    <col min="15105" max="15105" width="4.33203125" style="1" customWidth="1"/>
    <col min="15106" max="15106" width="12.5546875" style="1" customWidth="1"/>
    <col min="15107" max="15107" width="22.21875" style="1" customWidth="1"/>
    <col min="15108" max="15108" width="24.5546875" style="1" customWidth="1"/>
    <col min="15109" max="15109" width="8.21875" style="1" customWidth="1"/>
    <col min="15110" max="15110" width="29.44140625" style="1" customWidth="1"/>
    <col min="15111" max="15111" width="15.21875" style="1" bestFit="1" customWidth="1"/>
    <col min="15112" max="15115" width="14.44140625" style="1" customWidth="1"/>
    <col min="15116" max="15116" width="17.5546875" style="1" bestFit="1" customWidth="1"/>
    <col min="15117" max="15117" width="8.21875" style="1" bestFit="1" customWidth="1"/>
    <col min="15118" max="15118" width="3.5546875" style="1" customWidth="1"/>
    <col min="15119" max="15360" width="16.77734375" style="1"/>
    <col min="15361" max="15361" width="4.33203125" style="1" customWidth="1"/>
    <col min="15362" max="15362" width="12.5546875" style="1" customWidth="1"/>
    <col min="15363" max="15363" width="22.21875" style="1" customWidth="1"/>
    <col min="15364" max="15364" width="24.5546875" style="1" customWidth="1"/>
    <col min="15365" max="15365" width="8.21875" style="1" customWidth="1"/>
    <col min="15366" max="15366" width="29.44140625" style="1" customWidth="1"/>
    <col min="15367" max="15367" width="15.21875" style="1" bestFit="1" customWidth="1"/>
    <col min="15368" max="15371" width="14.44140625" style="1" customWidth="1"/>
    <col min="15372" max="15372" width="17.5546875" style="1" bestFit="1" customWidth="1"/>
    <col min="15373" max="15373" width="8.21875" style="1" bestFit="1" customWidth="1"/>
    <col min="15374" max="15374" width="3.5546875" style="1" customWidth="1"/>
    <col min="15375" max="15616" width="16.77734375" style="1"/>
    <col min="15617" max="15617" width="4.33203125" style="1" customWidth="1"/>
    <col min="15618" max="15618" width="12.5546875" style="1" customWidth="1"/>
    <col min="15619" max="15619" width="22.21875" style="1" customWidth="1"/>
    <col min="15620" max="15620" width="24.5546875" style="1" customWidth="1"/>
    <col min="15621" max="15621" width="8.21875" style="1" customWidth="1"/>
    <col min="15622" max="15622" width="29.44140625" style="1" customWidth="1"/>
    <col min="15623" max="15623" width="15.21875" style="1" bestFit="1" customWidth="1"/>
    <col min="15624" max="15627" width="14.44140625" style="1" customWidth="1"/>
    <col min="15628" max="15628" width="17.5546875" style="1" bestFit="1" customWidth="1"/>
    <col min="15629" max="15629" width="8.21875" style="1" bestFit="1" customWidth="1"/>
    <col min="15630" max="15630" width="3.5546875" style="1" customWidth="1"/>
    <col min="15631" max="15872" width="16.77734375" style="1"/>
    <col min="15873" max="15873" width="4.33203125" style="1" customWidth="1"/>
    <col min="15874" max="15874" width="12.5546875" style="1" customWidth="1"/>
    <col min="15875" max="15875" width="22.21875" style="1" customWidth="1"/>
    <col min="15876" max="15876" width="24.5546875" style="1" customWidth="1"/>
    <col min="15877" max="15877" width="8.21875" style="1" customWidth="1"/>
    <col min="15878" max="15878" width="29.44140625" style="1" customWidth="1"/>
    <col min="15879" max="15879" width="15.21875" style="1" bestFit="1" customWidth="1"/>
    <col min="15880" max="15883" width="14.44140625" style="1" customWidth="1"/>
    <col min="15884" max="15884" width="17.5546875" style="1" bestFit="1" customWidth="1"/>
    <col min="15885" max="15885" width="8.21875" style="1" bestFit="1" customWidth="1"/>
    <col min="15886" max="15886" width="3.5546875" style="1" customWidth="1"/>
    <col min="15887" max="16128" width="16.77734375" style="1"/>
    <col min="16129" max="16129" width="4.33203125" style="1" customWidth="1"/>
    <col min="16130" max="16130" width="12.5546875" style="1" customWidth="1"/>
    <col min="16131" max="16131" width="22.21875" style="1" customWidth="1"/>
    <col min="16132" max="16132" width="24.5546875" style="1" customWidth="1"/>
    <col min="16133" max="16133" width="8.21875" style="1" customWidth="1"/>
    <col min="16134" max="16134" width="29.44140625" style="1" customWidth="1"/>
    <col min="16135" max="16135" width="15.21875" style="1" bestFit="1" customWidth="1"/>
    <col min="16136" max="16139" width="14.44140625" style="1" customWidth="1"/>
    <col min="16140" max="16140" width="17.5546875" style="1" bestFit="1" customWidth="1"/>
    <col min="16141" max="16141" width="8.21875" style="1" bestFit="1" customWidth="1"/>
    <col min="16142" max="16142" width="3.5546875" style="1" customWidth="1"/>
    <col min="16143" max="16384" width="16.77734375" style="1"/>
  </cols>
  <sheetData>
    <row r="1" spans="1:14" ht="14.4" thickBot="1" x14ac:dyDescent="0.3"/>
    <row r="2" spans="1:14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</row>
    <row r="3" spans="1:14" x14ac:dyDescent="0.25">
      <c r="A3" s="6"/>
      <c r="B3" s="7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9"/>
    </row>
    <row r="4" spans="1:14" x14ac:dyDescent="0.25">
      <c r="A4" s="10"/>
      <c r="B4" s="11" t="s">
        <v>1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9"/>
    </row>
    <row r="5" spans="1:14" x14ac:dyDescent="0.25">
      <c r="L5" s="2"/>
      <c r="M5" s="2"/>
      <c r="N5" s="9"/>
    </row>
    <row r="6" spans="1:14" ht="14.4" thickBot="1" x14ac:dyDescent="0.3">
      <c r="A6" s="6"/>
      <c r="B6" s="13" t="s">
        <v>2</v>
      </c>
      <c r="C6" s="14"/>
      <c r="D6" s="15" t="str">
        <f>+'[1]FORM XIII'!F6</f>
        <v>SORYE CONTRUCTION</v>
      </c>
      <c r="E6" s="16"/>
      <c r="F6" s="17"/>
      <c r="G6" s="17"/>
      <c r="H6" s="17"/>
      <c r="I6" s="17"/>
      <c r="J6" s="17"/>
      <c r="K6" s="17"/>
      <c r="L6" s="18"/>
      <c r="M6" s="13"/>
      <c r="N6" s="9"/>
    </row>
    <row r="7" spans="1:14" ht="14.4" thickBot="1" x14ac:dyDescent="0.3">
      <c r="A7" s="19"/>
      <c r="B7" s="20" t="s">
        <v>3</v>
      </c>
      <c r="C7" s="21"/>
      <c r="D7" s="22" t="str">
        <f>+'[1]FORM XIII'!F7</f>
        <v>CIVIL WORK, LAKSAR, HARIDWAR</v>
      </c>
      <c r="E7" s="23"/>
      <c r="K7" s="24">
        <v>45992</v>
      </c>
      <c r="L7" s="1"/>
      <c r="M7" s="20"/>
      <c r="N7" s="9"/>
    </row>
    <row r="8" spans="1:14" x14ac:dyDescent="0.25">
      <c r="A8" s="19"/>
      <c r="B8" s="20" t="s">
        <v>4</v>
      </c>
      <c r="C8" s="21"/>
      <c r="D8" s="25"/>
      <c r="E8" s="26" t="str">
        <f>+'[1]FORM XIII'!F8</f>
        <v>JK TYRE &amp; INDUSTRIES LIMITED</v>
      </c>
      <c r="L8" s="1"/>
      <c r="M8" s="20"/>
      <c r="N8" s="9"/>
    </row>
    <row r="9" spans="1:14" ht="36" customHeight="1" x14ac:dyDescent="0.25">
      <c r="A9" s="19"/>
      <c r="B9" s="27" t="s">
        <v>5</v>
      </c>
      <c r="C9" s="28"/>
      <c r="D9" s="29"/>
      <c r="E9" s="30"/>
      <c r="F9" s="31" t="str">
        <f>+'[1]FORM XIII'!H9</f>
        <v>JK TYRE &amp; INDUSTRIES LIMITED
LAKSAR, HARIDWAR, UTTRAKHAND</v>
      </c>
      <c r="M9" s="32"/>
      <c r="N9" s="9"/>
    </row>
    <row r="10" spans="1:14" x14ac:dyDescent="0.25">
      <c r="A10" s="10"/>
      <c r="B10" s="33"/>
      <c r="C10" s="34"/>
      <c r="D10" s="35"/>
      <c r="E10" s="36"/>
      <c r="F10" s="36"/>
      <c r="G10" s="36"/>
      <c r="H10" s="36"/>
      <c r="I10" s="36"/>
      <c r="J10" s="36"/>
      <c r="K10" s="36"/>
      <c r="L10" s="34"/>
      <c r="M10" s="33"/>
      <c r="N10" s="9"/>
    </row>
    <row r="11" spans="1:14" x14ac:dyDescent="0.25">
      <c r="B11" s="37"/>
      <c r="C11" s="37"/>
      <c r="L11" s="2"/>
      <c r="M11" s="2"/>
      <c r="N11" s="9"/>
    </row>
    <row r="12" spans="1:14" ht="82.8" x14ac:dyDescent="0.25">
      <c r="A12" s="38" t="s">
        <v>6</v>
      </c>
      <c r="B12" s="38" t="s">
        <v>6</v>
      </c>
      <c r="C12" s="38" t="s">
        <v>7</v>
      </c>
      <c r="D12" s="38" t="s">
        <v>8</v>
      </c>
      <c r="E12" s="38" t="s">
        <v>9</v>
      </c>
      <c r="F12" s="38" t="s">
        <v>10</v>
      </c>
      <c r="G12" s="38" t="s">
        <v>11</v>
      </c>
      <c r="H12" s="38" t="s">
        <v>12</v>
      </c>
      <c r="I12" s="38" t="s">
        <v>13</v>
      </c>
      <c r="J12" s="38" t="s">
        <v>14</v>
      </c>
      <c r="K12" s="38" t="s">
        <v>15</v>
      </c>
      <c r="L12" s="38" t="s">
        <v>16</v>
      </c>
      <c r="M12" s="38" t="s">
        <v>17</v>
      </c>
      <c r="N12" s="9"/>
    </row>
    <row r="13" spans="1:14" x14ac:dyDescent="0.25">
      <c r="A13" s="39">
        <v>1</v>
      </c>
      <c r="B13" s="40">
        <v>2</v>
      </c>
      <c r="C13" s="39">
        <v>3</v>
      </c>
      <c r="D13" s="40">
        <v>4</v>
      </c>
      <c r="E13" s="40">
        <v>5</v>
      </c>
      <c r="F13" s="40">
        <v>6</v>
      </c>
      <c r="G13" s="40">
        <v>7</v>
      </c>
      <c r="H13" s="40">
        <v>8</v>
      </c>
      <c r="I13" s="40">
        <v>9</v>
      </c>
      <c r="J13" s="40">
        <v>10</v>
      </c>
      <c r="K13" s="40">
        <v>11</v>
      </c>
      <c r="L13" s="40">
        <v>12</v>
      </c>
      <c r="M13" s="39">
        <v>13</v>
      </c>
      <c r="N13" s="9"/>
    </row>
    <row r="14" spans="1:14" ht="14.4" x14ac:dyDescent="0.25">
      <c r="A14" s="39">
        <v>1</v>
      </c>
      <c r="B14" s="41">
        <v>72222011</v>
      </c>
      <c r="C14" s="41" t="s">
        <v>18</v>
      </c>
      <c r="D14" s="41" t="s">
        <v>19</v>
      </c>
      <c r="E14" s="40" t="s">
        <v>20</v>
      </c>
      <c r="F14" s="42" t="s">
        <v>21</v>
      </c>
      <c r="G14" s="40"/>
      <c r="H14" s="40">
        <v>8</v>
      </c>
      <c r="I14" s="43">
        <v>480.77</v>
      </c>
      <c r="J14" s="43">
        <f t="shared" ref="J14:J77" si="0">+I14/8</f>
        <v>60.096249999999998</v>
      </c>
      <c r="K14" s="43">
        <f t="shared" ref="K14:K77" si="1">+H14*J14</f>
        <v>480.77</v>
      </c>
      <c r="L14" s="39" t="s">
        <v>22</v>
      </c>
      <c r="M14" s="39"/>
      <c r="N14" s="9"/>
    </row>
    <row r="15" spans="1:14" ht="14.4" x14ac:dyDescent="0.25">
      <c r="A15" s="39">
        <v>2</v>
      </c>
      <c r="B15" s="41">
        <v>72222024</v>
      </c>
      <c r="C15" s="41" t="s">
        <v>23</v>
      </c>
      <c r="D15" s="41" t="s">
        <v>24</v>
      </c>
      <c r="E15" s="40" t="s">
        <v>20</v>
      </c>
      <c r="F15" s="42" t="s">
        <v>21</v>
      </c>
      <c r="G15" s="40"/>
      <c r="H15" s="40">
        <v>2</v>
      </c>
      <c r="I15" s="43">
        <v>480.77</v>
      </c>
      <c r="J15" s="43">
        <f t="shared" si="0"/>
        <v>60.096249999999998</v>
      </c>
      <c r="K15" s="43">
        <f t="shared" si="1"/>
        <v>120.1925</v>
      </c>
      <c r="L15" s="39" t="s">
        <v>22</v>
      </c>
      <c r="M15" s="39"/>
      <c r="N15" s="9"/>
    </row>
    <row r="16" spans="1:14" ht="14.4" x14ac:dyDescent="0.25">
      <c r="A16" s="39">
        <v>3</v>
      </c>
      <c r="B16" s="41">
        <v>72222032</v>
      </c>
      <c r="C16" s="41" t="s">
        <v>25</v>
      </c>
      <c r="D16" s="41" t="s">
        <v>26</v>
      </c>
      <c r="E16" s="40" t="s">
        <v>20</v>
      </c>
      <c r="F16" s="42" t="s">
        <v>21</v>
      </c>
      <c r="G16" s="40"/>
      <c r="H16" s="40">
        <v>30</v>
      </c>
      <c r="I16" s="43">
        <v>480.77</v>
      </c>
      <c r="J16" s="43">
        <f t="shared" si="0"/>
        <v>60.096249999999998</v>
      </c>
      <c r="K16" s="43">
        <f t="shared" si="1"/>
        <v>1802.8874999999998</v>
      </c>
      <c r="L16" s="39" t="s">
        <v>22</v>
      </c>
      <c r="M16" s="39"/>
      <c r="N16" s="9"/>
    </row>
    <row r="17" spans="1:14" ht="14.4" x14ac:dyDescent="0.25">
      <c r="A17" s="39">
        <v>4</v>
      </c>
      <c r="B17" s="41">
        <v>72222118</v>
      </c>
      <c r="C17" s="41" t="s">
        <v>27</v>
      </c>
      <c r="D17" s="41" t="s">
        <v>28</v>
      </c>
      <c r="E17" s="40" t="s">
        <v>20</v>
      </c>
      <c r="F17" s="42" t="s">
        <v>21</v>
      </c>
      <c r="G17" s="40"/>
      <c r="H17" s="40">
        <v>33</v>
      </c>
      <c r="I17" s="43">
        <v>480.77</v>
      </c>
      <c r="J17" s="43">
        <f t="shared" si="0"/>
        <v>60.096249999999998</v>
      </c>
      <c r="K17" s="43">
        <f t="shared" si="1"/>
        <v>1983.17625</v>
      </c>
      <c r="L17" s="39" t="s">
        <v>22</v>
      </c>
      <c r="M17" s="39"/>
      <c r="N17" s="9"/>
    </row>
    <row r="18" spans="1:14" ht="14.4" x14ac:dyDescent="0.25">
      <c r="A18" s="39">
        <v>5</v>
      </c>
      <c r="B18" s="41">
        <v>72232186</v>
      </c>
      <c r="C18" s="41" t="s">
        <v>29</v>
      </c>
      <c r="D18" s="41" t="s">
        <v>30</v>
      </c>
      <c r="E18" s="40" t="s">
        <v>20</v>
      </c>
      <c r="F18" s="42" t="s">
        <v>21</v>
      </c>
      <c r="G18" s="40"/>
      <c r="H18" s="40">
        <v>26</v>
      </c>
      <c r="I18" s="43">
        <v>480.77</v>
      </c>
      <c r="J18" s="43">
        <f t="shared" si="0"/>
        <v>60.096249999999998</v>
      </c>
      <c r="K18" s="43">
        <f t="shared" si="1"/>
        <v>1562.5025000000001</v>
      </c>
      <c r="L18" s="39" t="s">
        <v>22</v>
      </c>
      <c r="M18" s="39"/>
      <c r="N18" s="9"/>
    </row>
    <row r="19" spans="1:14" ht="14.4" x14ac:dyDescent="0.25">
      <c r="A19" s="39">
        <v>6</v>
      </c>
      <c r="B19" s="41">
        <v>72232120</v>
      </c>
      <c r="C19" s="41" t="s">
        <v>31</v>
      </c>
      <c r="D19" s="41" t="s">
        <v>32</v>
      </c>
      <c r="E19" s="40" t="s">
        <v>20</v>
      </c>
      <c r="F19" s="42" t="s">
        <v>21</v>
      </c>
      <c r="G19" s="40"/>
      <c r="H19" s="40">
        <v>29</v>
      </c>
      <c r="I19" s="43">
        <v>480.77</v>
      </c>
      <c r="J19" s="43">
        <f t="shared" si="0"/>
        <v>60.096249999999998</v>
      </c>
      <c r="K19" s="43">
        <f t="shared" si="1"/>
        <v>1742.79125</v>
      </c>
      <c r="L19" s="39" t="s">
        <v>22</v>
      </c>
      <c r="M19" s="39"/>
      <c r="N19" s="9"/>
    </row>
    <row r="20" spans="1:14" ht="14.4" x14ac:dyDescent="0.25">
      <c r="A20" s="39">
        <v>7</v>
      </c>
      <c r="B20" s="41">
        <v>72232124</v>
      </c>
      <c r="C20" s="41" t="s">
        <v>33</v>
      </c>
      <c r="D20" s="41" t="s">
        <v>34</v>
      </c>
      <c r="E20" s="40" t="s">
        <v>20</v>
      </c>
      <c r="F20" s="42" t="s">
        <v>21</v>
      </c>
      <c r="G20" s="40"/>
      <c r="H20" s="40">
        <v>18</v>
      </c>
      <c r="I20" s="43">
        <v>480.77</v>
      </c>
      <c r="J20" s="43">
        <f t="shared" si="0"/>
        <v>60.096249999999998</v>
      </c>
      <c r="K20" s="43">
        <f t="shared" si="1"/>
        <v>1081.7325000000001</v>
      </c>
      <c r="L20" s="39" t="s">
        <v>22</v>
      </c>
      <c r="M20" s="39"/>
      <c r="N20" s="9"/>
    </row>
    <row r="21" spans="1:14" ht="14.4" x14ac:dyDescent="0.25">
      <c r="A21" s="39">
        <v>8</v>
      </c>
      <c r="B21" s="41">
        <v>72232127</v>
      </c>
      <c r="C21" s="41" t="s">
        <v>35</v>
      </c>
      <c r="D21" s="41" t="s">
        <v>36</v>
      </c>
      <c r="E21" s="40" t="s">
        <v>20</v>
      </c>
      <c r="F21" s="42" t="s">
        <v>21</v>
      </c>
      <c r="G21" s="40"/>
      <c r="H21" s="40">
        <v>8</v>
      </c>
      <c r="I21" s="43">
        <v>480.77</v>
      </c>
      <c r="J21" s="43">
        <f t="shared" si="0"/>
        <v>60.096249999999998</v>
      </c>
      <c r="K21" s="43">
        <f t="shared" si="1"/>
        <v>480.77</v>
      </c>
      <c r="L21" s="39" t="s">
        <v>22</v>
      </c>
      <c r="M21" s="39"/>
      <c r="N21" s="9"/>
    </row>
    <row r="22" spans="1:14" ht="14.4" x14ac:dyDescent="0.25">
      <c r="A22" s="39">
        <v>9</v>
      </c>
      <c r="B22" s="41">
        <v>72232131</v>
      </c>
      <c r="C22" s="41" t="s">
        <v>37</v>
      </c>
      <c r="D22" s="41" t="s">
        <v>38</v>
      </c>
      <c r="E22" s="40" t="s">
        <v>20</v>
      </c>
      <c r="F22" s="42" t="s">
        <v>21</v>
      </c>
      <c r="G22" s="40"/>
      <c r="H22" s="40">
        <v>8</v>
      </c>
      <c r="I22" s="43">
        <v>480.77</v>
      </c>
      <c r="J22" s="43">
        <f t="shared" si="0"/>
        <v>60.096249999999998</v>
      </c>
      <c r="K22" s="43">
        <f t="shared" si="1"/>
        <v>480.77</v>
      </c>
      <c r="L22" s="39" t="s">
        <v>22</v>
      </c>
      <c r="M22" s="39"/>
      <c r="N22" s="9"/>
    </row>
    <row r="23" spans="1:14" ht="14.4" x14ac:dyDescent="0.25">
      <c r="A23" s="39">
        <v>10</v>
      </c>
      <c r="B23" s="41">
        <v>72232159</v>
      </c>
      <c r="C23" s="41" t="s">
        <v>39</v>
      </c>
      <c r="D23" s="41" t="s">
        <v>40</v>
      </c>
      <c r="E23" s="40" t="s">
        <v>20</v>
      </c>
      <c r="F23" s="42" t="s">
        <v>21</v>
      </c>
      <c r="G23" s="40"/>
      <c r="H23" s="40">
        <v>6</v>
      </c>
      <c r="I23" s="43">
        <v>480.77</v>
      </c>
      <c r="J23" s="43">
        <f t="shared" si="0"/>
        <v>60.096249999999998</v>
      </c>
      <c r="K23" s="43">
        <f t="shared" si="1"/>
        <v>360.57749999999999</v>
      </c>
      <c r="L23" s="39" t="s">
        <v>22</v>
      </c>
      <c r="M23" s="39"/>
      <c r="N23" s="9"/>
    </row>
    <row r="24" spans="1:14" ht="14.4" x14ac:dyDescent="0.25">
      <c r="A24" s="39">
        <v>11</v>
      </c>
      <c r="B24" s="41">
        <v>72232160</v>
      </c>
      <c r="C24" s="41" t="s">
        <v>41</v>
      </c>
      <c r="D24" s="41" t="s">
        <v>42</v>
      </c>
      <c r="E24" s="40" t="s">
        <v>20</v>
      </c>
      <c r="F24" s="42" t="s">
        <v>21</v>
      </c>
      <c r="G24" s="40"/>
      <c r="H24" s="40">
        <v>16</v>
      </c>
      <c r="I24" s="43">
        <v>480.77</v>
      </c>
      <c r="J24" s="43">
        <f t="shared" si="0"/>
        <v>60.096249999999998</v>
      </c>
      <c r="K24" s="43">
        <f t="shared" si="1"/>
        <v>961.54</v>
      </c>
      <c r="L24" s="39" t="s">
        <v>22</v>
      </c>
      <c r="M24" s="39"/>
      <c r="N24" s="9"/>
    </row>
    <row r="25" spans="1:14" ht="14.4" x14ac:dyDescent="0.25">
      <c r="A25" s="39">
        <v>12</v>
      </c>
      <c r="B25" s="41">
        <v>72232163</v>
      </c>
      <c r="C25" s="41" t="s">
        <v>43</v>
      </c>
      <c r="D25" s="41" t="s">
        <v>44</v>
      </c>
      <c r="E25" s="40" t="s">
        <v>20</v>
      </c>
      <c r="F25" s="42" t="s">
        <v>45</v>
      </c>
      <c r="G25" s="40"/>
      <c r="H25" s="40">
        <v>52</v>
      </c>
      <c r="I25" s="43">
        <v>542.04</v>
      </c>
      <c r="J25" s="43">
        <f t="shared" si="0"/>
        <v>67.754999999999995</v>
      </c>
      <c r="K25" s="43">
        <f t="shared" si="1"/>
        <v>3523.2599999999998</v>
      </c>
      <c r="L25" s="39" t="s">
        <v>22</v>
      </c>
      <c r="M25" s="39"/>
      <c r="N25" s="9"/>
    </row>
    <row r="26" spans="1:14" ht="14.4" x14ac:dyDescent="0.25">
      <c r="A26" s="39">
        <v>13</v>
      </c>
      <c r="B26" s="41">
        <v>72232164</v>
      </c>
      <c r="C26" s="41" t="s">
        <v>46</v>
      </c>
      <c r="D26" s="41" t="s">
        <v>47</v>
      </c>
      <c r="E26" s="40" t="s">
        <v>20</v>
      </c>
      <c r="F26" s="42" t="s">
        <v>45</v>
      </c>
      <c r="G26" s="40"/>
      <c r="H26" s="40">
        <v>17</v>
      </c>
      <c r="I26" s="43">
        <v>542.04</v>
      </c>
      <c r="J26" s="43">
        <f t="shared" si="0"/>
        <v>67.754999999999995</v>
      </c>
      <c r="K26" s="43">
        <f t="shared" si="1"/>
        <v>1151.835</v>
      </c>
      <c r="L26" s="39" t="s">
        <v>22</v>
      </c>
      <c r="M26" s="39"/>
      <c r="N26" s="9"/>
    </row>
    <row r="27" spans="1:14" ht="14.4" x14ac:dyDescent="0.25">
      <c r="A27" s="39">
        <v>14</v>
      </c>
      <c r="B27" s="41">
        <v>72232165</v>
      </c>
      <c r="C27" s="41" t="s">
        <v>48</v>
      </c>
      <c r="D27" s="41" t="s">
        <v>49</v>
      </c>
      <c r="E27" s="40" t="s">
        <v>20</v>
      </c>
      <c r="F27" s="42" t="s">
        <v>45</v>
      </c>
      <c r="G27" s="40"/>
      <c r="H27" s="40">
        <v>31</v>
      </c>
      <c r="I27" s="43">
        <v>542.04</v>
      </c>
      <c r="J27" s="43">
        <f t="shared" si="0"/>
        <v>67.754999999999995</v>
      </c>
      <c r="K27" s="43">
        <f t="shared" si="1"/>
        <v>2100.4049999999997</v>
      </c>
      <c r="L27" s="39" t="s">
        <v>22</v>
      </c>
      <c r="M27" s="39"/>
      <c r="N27" s="9"/>
    </row>
    <row r="28" spans="1:14" ht="14.4" x14ac:dyDescent="0.25">
      <c r="A28" s="39">
        <v>15</v>
      </c>
      <c r="B28" s="41">
        <v>72232166</v>
      </c>
      <c r="C28" s="41" t="s">
        <v>50</v>
      </c>
      <c r="D28" s="41" t="s">
        <v>51</v>
      </c>
      <c r="E28" s="40" t="s">
        <v>20</v>
      </c>
      <c r="F28" s="42" t="s">
        <v>21</v>
      </c>
      <c r="G28" s="40"/>
      <c r="H28" s="40">
        <v>39</v>
      </c>
      <c r="I28" s="43">
        <v>480.77</v>
      </c>
      <c r="J28" s="43">
        <f t="shared" si="0"/>
        <v>60.096249999999998</v>
      </c>
      <c r="K28" s="43">
        <f t="shared" si="1"/>
        <v>2343.7537499999999</v>
      </c>
      <c r="L28" s="39" t="s">
        <v>22</v>
      </c>
      <c r="M28" s="39"/>
      <c r="N28" s="9"/>
    </row>
    <row r="29" spans="1:14" ht="14.4" x14ac:dyDescent="0.25">
      <c r="A29" s="39">
        <v>16</v>
      </c>
      <c r="B29" s="41">
        <v>72232167</v>
      </c>
      <c r="C29" s="41" t="s">
        <v>52</v>
      </c>
      <c r="D29" s="41" t="s">
        <v>53</v>
      </c>
      <c r="E29" s="40" t="s">
        <v>20</v>
      </c>
      <c r="F29" s="42" t="s">
        <v>21</v>
      </c>
      <c r="G29" s="40"/>
      <c r="H29" s="40">
        <v>22</v>
      </c>
      <c r="I29" s="43">
        <v>480.77</v>
      </c>
      <c r="J29" s="43">
        <f t="shared" si="0"/>
        <v>60.096249999999998</v>
      </c>
      <c r="K29" s="43">
        <f t="shared" si="1"/>
        <v>1322.1174999999998</v>
      </c>
      <c r="L29" s="39" t="s">
        <v>22</v>
      </c>
      <c r="M29" s="39"/>
      <c r="N29" s="9"/>
    </row>
    <row r="30" spans="1:14" ht="14.4" x14ac:dyDescent="0.25">
      <c r="A30" s="39">
        <v>17</v>
      </c>
      <c r="B30" s="41">
        <v>72232174</v>
      </c>
      <c r="C30" s="41" t="s">
        <v>54</v>
      </c>
      <c r="D30" s="41" t="s">
        <v>55</v>
      </c>
      <c r="E30" s="40" t="s">
        <v>20</v>
      </c>
      <c r="F30" s="42" t="s">
        <v>21</v>
      </c>
      <c r="G30" s="40"/>
      <c r="H30" s="40">
        <v>27</v>
      </c>
      <c r="I30" s="43">
        <v>480.77</v>
      </c>
      <c r="J30" s="43">
        <f t="shared" si="0"/>
        <v>60.096249999999998</v>
      </c>
      <c r="K30" s="43">
        <f t="shared" si="1"/>
        <v>1622.5987499999999</v>
      </c>
      <c r="L30" s="39" t="s">
        <v>22</v>
      </c>
      <c r="M30" s="39"/>
      <c r="N30" s="9"/>
    </row>
    <row r="31" spans="1:14" ht="14.4" x14ac:dyDescent="0.25">
      <c r="A31" s="39">
        <v>18</v>
      </c>
      <c r="B31" s="41">
        <v>72232208</v>
      </c>
      <c r="C31" s="41" t="s">
        <v>56</v>
      </c>
      <c r="D31" s="41" t="s">
        <v>57</v>
      </c>
      <c r="E31" s="40" t="s">
        <v>20</v>
      </c>
      <c r="F31" s="42" t="s">
        <v>21</v>
      </c>
      <c r="G31" s="40"/>
      <c r="H31" s="40">
        <v>14</v>
      </c>
      <c r="I31" s="43">
        <v>480.77</v>
      </c>
      <c r="J31" s="43">
        <f t="shared" si="0"/>
        <v>60.096249999999998</v>
      </c>
      <c r="K31" s="43">
        <f t="shared" si="1"/>
        <v>841.34749999999997</v>
      </c>
      <c r="L31" s="39" t="s">
        <v>22</v>
      </c>
      <c r="M31" s="39"/>
      <c r="N31" s="9"/>
    </row>
    <row r="32" spans="1:14" ht="14.4" x14ac:dyDescent="0.25">
      <c r="A32" s="39">
        <v>19</v>
      </c>
      <c r="B32" s="41">
        <v>72232177</v>
      </c>
      <c r="C32" s="41" t="s">
        <v>58</v>
      </c>
      <c r="D32" s="41" t="s">
        <v>59</v>
      </c>
      <c r="E32" s="40" t="s">
        <v>20</v>
      </c>
      <c r="F32" s="42" t="s">
        <v>21</v>
      </c>
      <c r="G32" s="40"/>
      <c r="H32" s="40">
        <v>25</v>
      </c>
      <c r="I32" s="43">
        <v>480.77</v>
      </c>
      <c r="J32" s="43">
        <f t="shared" si="0"/>
        <v>60.096249999999998</v>
      </c>
      <c r="K32" s="43">
        <f t="shared" si="1"/>
        <v>1502.40625</v>
      </c>
      <c r="L32" s="39" t="s">
        <v>22</v>
      </c>
      <c r="M32" s="39"/>
      <c r="N32" s="9"/>
    </row>
    <row r="33" spans="1:14" ht="14.4" x14ac:dyDescent="0.25">
      <c r="A33" s="39">
        <v>20</v>
      </c>
      <c r="B33" s="41">
        <v>72232178</v>
      </c>
      <c r="C33" s="41" t="s">
        <v>60</v>
      </c>
      <c r="D33" s="41" t="s">
        <v>61</v>
      </c>
      <c r="E33" s="40" t="s">
        <v>20</v>
      </c>
      <c r="F33" s="42" t="s">
        <v>21</v>
      </c>
      <c r="G33" s="40"/>
      <c r="H33" s="40">
        <v>30</v>
      </c>
      <c r="I33" s="43">
        <v>480.77</v>
      </c>
      <c r="J33" s="43">
        <f t="shared" si="0"/>
        <v>60.096249999999998</v>
      </c>
      <c r="K33" s="43">
        <f t="shared" si="1"/>
        <v>1802.8874999999998</v>
      </c>
      <c r="L33" s="39" t="s">
        <v>22</v>
      </c>
      <c r="M33" s="39"/>
      <c r="N33" s="9"/>
    </row>
    <row r="34" spans="1:14" ht="14.4" x14ac:dyDescent="0.25">
      <c r="A34" s="39">
        <v>21</v>
      </c>
      <c r="B34" s="41">
        <v>72232179</v>
      </c>
      <c r="C34" s="41" t="s">
        <v>62</v>
      </c>
      <c r="D34" s="41" t="s">
        <v>63</v>
      </c>
      <c r="E34" s="40" t="s">
        <v>20</v>
      </c>
      <c r="F34" s="42" t="s">
        <v>21</v>
      </c>
      <c r="G34" s="40"/>
      <c r="H34" s="40">
        <v>29</v>
      </c>
      <c r="I34" s="43">
        <v>480.77</v>
      </c>
      <c r="J34" s="43">
        <f t="shared" si="0"/>
        <v>60.096249999999998</v>
      </c>
      <c r="K34" s="43">
        <f t="shared" si="1"/>
        <v>1742.79125</v>
      </c>
      <c r="L34" s="39" t="s">
        <v>22</v>
      </c>
      <c r="M34" s="39"/>
      <c r="N34" s="9"/>
    </row>
    <row r="35" spans="1:14" ht="14.4" x14ac:dyDescent="0.25">
      <c r="A35" s="39">
        <v>22</v>
      </c>
      <c r="B35" s="41">
        <v>72232180</v>
      </c>
      <c r="C35" s="41" t="s">
        <v>64</v>
      </c>
      <c r="D35" s="41" t="s">
        <v>65</v>
      </c>
      <c r="E35" s="40" t="s">
        <v>20</v>
      </c>
      <c r="F35" s="42" t="s">
        <v>21</v>
      </c>
      <c r="G35" s="40"/>
      <c r="H35" s="40">
        <v>16</v>
      </c>
      <c r="I35" s="43">
        <v>480.77</v>
      </c>
      <c r="J35" s="43">
        <f t="shared" si="0"/>
        <v>60.096249999999998</v>
      </c>
      <c r="K35" s="43">
        <f t="shared" si="1"/>
        <v>961.54</v>
      </c>
      <c r="L35" s="39" t="s">
        <v>22</v>
      </c>
      <c r="M35" s="39"/>
      <c r="N35" s="9"/>
    </row>
    <row r="36" spans="1:14" ht="14.4" x14ac:dyDescent="0.25">
      <c r="A36" s="39">
        <v>23</v>
      </c>
      <c r="B36" s="41">
        <v>72232182</v>
      </c>
      <c r="C36" s="41" t="s">
        <v>66</v>
      </c>
      <c r="D36" s="41" t="s">
        <v>67</v>
      </c>
      <c r="E36" s="40" t="s">
        <v>20</v>
      </c>
      <c r="F36" s="42" t="s">
        <v>21</v>
      </c>
      <c r="G36" s="40"/>
      <c r="H36" s="40">
        <v>7</v>
      </c>
      <c r="I36" s="43">
        <v>480.77</v>
      </c>
      <c r="J36" s="43">
        <f t="shared" si="0"/>
        <v>60.096249999999998</v>
      </c>
      <c r="K36" s="43">
        <f t="shared" si="1"/>
        <v>420.67374999999998</v>
      </c>
      <c r="L36" s="39" t="s">
        <v>22</v>
      </c>
      <c r="M36" s="39"/>
      <c r="N36" s="9"/>
    </row>
    <row r="37" spans="1:14" ht="14.4" x14ac:dyDescent="0.25">
      <c r="A37" s="39">
        <v>24</v>
      </c>
      <c r="B37" s="41">
        <v>72232190</v>
      </c>
      <c r="C37" s="41" t="s">
        <v>68</v>
      </c>
      <c r="D37" s="41" t="s">
        <v>69</v>
      </c>
      <c r="E37" s="40" t="s">
        <v>20</v>
      </c>
      <c r="F37" s="42" t="s">
        <v>21</v>
      </c>
      <c r="G37" s="40"/>
      <c r="H37" s="40">
        <v>37</v>
      </c>
      <c r="I37" s="43">
        <v>480.77</v>
      </c>
      <c r="J37" s="43">
        <f t="shared" si="0"/>
        <v>60.096249999999998</v>
      </c>
      <c r="K37" s="43">
        <f t="shared" si="1"/>
        <v>2223.5612499999997</v>
      </c>
      <c r="L37" s="39" t="s">
        <v>22</v>
      </c>
      <c r="M37" s="39"/>
      <c r="N37" s="9"/>
    </row>
    <row r="38" spans="1:14" ht="14.4" x14ac:dyDescent="0.25">
      <c r="A38" s="39">
        <v>25</v>
      </c>
      <c r="B38" s="41">
        <v>72232195</v>
      </c>
      <c r="C38" s="41" t="s">
        <v>70</v>
      </c>
      <c r="D38" s="41" t="s">
        <v>71</v>
      </c>
      <c r="E38" s="40" t="s">
        <v>20</v>
      </c>
      <c r="F38" s="42" t="s">
        <v>21</v>
      </c>
      <c r="G38" s="40"/>
      <c r="H38" s="40">
        <v>28</v>
      </c>
      <c r="I38" s="43">
        <v>480.77</v>
      </c>
      <c r="J38" s="43">
        <f t="shared" si="0"/>
        <v>60.096249999999998</v>
      </c>
      <c r="K38" s="43">
        <f t="shared" si="1"/>
        <v>1682.6949999999999</v>
      </c>
      <c r="L38" s="39" t="s">
        <v>22</v>
      </c>
      <c r="M38" s="39"/>
      <c r="N38" s="9"/>
    </row>
    <row r="39" spans="1:14" ht="14.4" x14ac:dyDescent="0.25">
      <c r="A39" s="39">
        <v>26</v>
      </c>
      <c r="B39" s="41">
        <v>99122390</v>
      </c>
      <c r="C39" s="41" t="s">
        <v>72</v>
      </c>
      <c r="D39" s="41" t="s">
        <v>73</v>
      </c>
      <c r="E39" s="40" t="s">
        <v>20</v>
      </c>
      <c r="F39" s="42" t="s">
        <v>21</v>
      </c>
      <c r="G39" s="40"/>
      <c r="H39" s="40">
        <v>1</v>
      </c>
      <c r="I39" s="43">
        <v>480.77</v>
      </c>
      <c r="J39" s="43">
        <f t="shared" si="0"/>
        <v>60.096249999999998</v>
      </c>
      <c r="K39" s="43">
        <f t="shared" si="1"/>
        <v>60.096249999999998</v>
      </c>
      <c r="L39" s="39" t="s">
        <v>22</v>
      </c>
      <c r="M39" s="39"/>
      <c r="N39" s="9"/>
    </row>
    <row r="40" spans="1:14" ht="14.4" x14ac:dyDescent="0.25">
      <c r="A40" s="39">
        <v>27</v>
      </c>
      <c r="B40" s="41">
        <v>99122481</v>
      </c>
      <c r="C40" s="41" t="s">
        <v>74</v>
      </c>
      <c r="D40" s="41" t="s">
        <v>75</v>
      </c>
      <c r="E40" s="40" t="s">
        <v>20</v>
      </c>
      <c r="F40" s="42" t="s">
        <v>21</v>
      </c>
      <c r="G40" s="40"/>
      <c r="H40" s="40">
        <v>3</v>
      </c>
      <c r="I40" s="43">
        <v>480.77</v>
      </c>
      <c r="J40" s="43">
        <f t="shared" si="0"/>
        <v>60.096249999999998</v>
      </c>
      <c r="K40" s="43">
        <f t="shared" si="1"/>
        <v>180.28874999999999</v>
      </c>
      <c r="L40" s="39" t="s">
        <v>22</v>
      </c>
      <c r="M40" s="39"/>
      <c r="N40" s="9"/>
    </row>
    <row r="41" spans="1:14" ht="14.4" x14ac:dyDescent="0.25">
      <c r="A41" s="39">
        <v>28</v>
      </c>
      <c r="B41" s="41">
        <v>99122483</v>
      </c>
      <c r="C41" s="41" t="s">
        <v>76</v>
      </c>
      <c r="D41" s="41" t="s">
        <v>77</v>
      </c>
      <c r="E41" s="40" t="s">
        <v>20</v>
      </c>
      <c r="F41" s="42" t="s">
        <v>21</v>
      </c>
      <c r="G41" s="40"/>
      <c r="H41" s="40">
        <v>8</v>
      </c>
      <c r="I41" s="43">
        <v>480.77</v>
      </c>
      <c r="J41" s="43">
        <f t="shared" si="0"/>
        <v>60.096249999999998</v>
      </c>
      <c r="K41" s="43">
        <f t="shared" si="1"/>
        <v>480.77</v>
      </c>
      <c r="L41" s="39" t="s">
        <v>22</v>
      </c>
      <c r="M41" s="39"/>
      <c r="N41" s="9"/>
    </row>
    <row r="42" spans="1:14" ht="14.4" x14ac:dyDescent="0.25">
      <c r="A42" s="39">
        <v>29</v>
      </c>
      <c r="B42" s="41">
        <v>99132036</v>
      </c>
      <c r="C42" s="41" t="s">
        <v>78</v>
      </c>
      <c r="D42" s="41" t="s">
        <v>79</v>
      </c>
      <c r="E42" s="40" t="s">
        <v>20</v>
      </c>
      <c r="F42" s="42" t="s">
        <v>21</v>
      </c>
      <c r="G42" s="40"/>
      <c r="H42" s="40">
        <v>52</v>
      </c>
      <c r="I42" s="43">
        <v>480.77</v>
      </c>
      <c r="J42" s="43">
        <f t="shared" si="0"/>
        <v>60.096249999999998</v>
      </c>
      <c r="K42" s="43">
        <f t="shared" si="1"/>
        <v>3125.0050000000001</v>
      </c>
      <c r="L42" s="39" t="s">
        <v>22</v>
      </c>
      <c r="M42" s="39"/>
      <c r="N42" s="9"/>
    </row>
    <row r="43" spans="1:14" ht="14.4" x14ac:dyDescent="0.25">
      <c r="A43" s="39">
        <v>30</v>
      </c>
      <c r="B43" s="41">
        <v>99132326</v>
      </c>
      <c r="C43" s="41" t="s">
        <v>80</v>
      </c>
      <c r="D43" s="41" t="s">
        <v>81</v>
      </c>
      <c r="E43" s="40" t="s">
        <v>20</v>
      </c>
      <c r="F43" s="42" t="s">
        <v>21</v>
      </c>
      <c r="G43" s="40"/>
      <c r="H43" s="40">
        <v>16</v>
      </c>
      <c r="I43" s="43">
        <v>480.77</v>
      </c>
      <c r="J43" s="43">
        <f t="shared" si="0"/>
        <v>60.096249999999998</v>
      </c>
      <c r="K43" s="43">
        <f t="shared" si="1"/>
        <v>961.54</v>
      </c>
      <c r="L43" s="39" t="s">
        <v>22</v>
      </c>
      <c r="M43" s="39"/>
      <c r="N43" s="9"/>
    </row>
    <row r="44" spans="1:14" ht="14.4" x14ac:dyDescent="0.25">
      <c r="A44" s="39">
        <v>31</v>
      </c>
      <c r="B44" s="41">
        <v>99133051</v>
      </c>
      <c r="C44" s="41" t="s">
        <v>82</v>
      </c>
      <c r="D44" s="41" t="s">
        <v>83</v>
      </c>
      <c r="E44" s="40" t="s">
        <v>20</v>
      </c>
      <c r="F44" s="42" t="s">
        <v>21</v>
      </c>
      <c r="G44" s="40"/>
      <c r="H44" s="40">
        <v>12</v>
      </c>
      <c r="I44" s="43">
        <v>480.77</v>
      </c>
      <c r="J44" s="43">
        <f t="shared" si="0"/>
        <v>60.096249999999998</v>
      </c>
      <c r="K44" s="43">
        <f t="shared" si="1"/>
        <v>721.15499999999997</v>
      </c>
      <c r="L44" s="39" t="s">
        <v>22</v>
      </c>
      <c r="M44" s="39"/>
      <c r="N44" s="9"/>
    </row>
    <row r="45" spans="1:14" ht="14.4" x14ac:dyDescent="0.25">
      <c r="A45" s="39">
        <v>32</v>
      </c>
      <c r="B45" s="41">
        <v>99133848</v>
      </c>
      <c r="C45" s="41" t="s">
        <v>84</v>
      </c>
      <c r="D45" s="41" t="s">
        <v>85</v>
      </c>
      <c r="E45" s="40" t="s">
        <v>20</v>
      </c>
      <c r="F45" s="42" t="s">
        <v>21</v>
      </c>
      <c r="G45" s="40"/>
      <c r="H45" s="40">
        <v>15</v>
      </c>
      <c r="I45" s="43">
        <v>480.77</v>
      </c>
      <c r="J45" s="43">
        <f t="shared" si="0"/>
        <v>60.096249999999998</v>
      </c>
      <c r="K45" s="43">
        <f t="shared" si="1"/>
        <v>901.44374999999991</v>
      </c>
      <c r="L45" s="39" t="s">
        <v>22</v>
      </c>
      <c r="M45" s="39"/>
      <c r="N45" s="9"/>
    </row>
    <row r="46" spans="1:14" ht="14.4" x14ac:dyDescent="0.25">
      <c r="A46" s="39">
        <v>33</v>
      </c>
      <c r="B46" s="41">
        <v>99134608</v>
      </c>
      <c r="C46" s="41" t="s">
        <v>86</v>
      </c>
      <c r="D46" s="41" t="s">
        <v>87</v>
      </c>
      <c r="E46" s="40" t="s">
        <v>20</v>
      </c>
      <c r="F46" s="42" t="s">
        <v>21</v>
      </c>
      <c r="G46" s="40"/>
      <c r="H46" s="40">
        <v>15</v>
      </c>
      <c r="I46" s="43">
        <v>480.77</v>
      </c>
      <c r="J46" s="43">
        <f t="shared" si="0"/>
        <v>60.096249999999998</v>
      </c>
      <c r="K46" s="43">
        <f t="shared" si="1"/>
        <v>901.44374999999991</v>
      </c>
      <c r="L46" s="39" t="s">
        <v>22</v>
      </c>
      <c r="M46" s="39"/>
      <c r="N46" s="9"/>
    </row>
    <row r="47" spans="1:14" ht="14.4" x14ac:dyDescent="0.25">
      <c r="A47" s="39">
        <v>34</v>
      </c>
      <c r="B47" s="41">
        <v>99134609</v>
      </c>
      <c r="C47" s="41" t="s">
        <v>88</v>
      </c>
      <c r="D47" s="41" t="s">
        <v>89</v>
      </c>
      <c r="E47" s="40" t="s">
        <v>20</v>
      </c>
      <c r="F47" s="42" t="s">
        <v>21</v>
      </c>
      <c r="G47" s="40"/>
      <c r="H47" s="40">
        <v>21</v>
      </c>
      <c r="I47" s="43">
        <v>480.77</v>
      </c>
      <c r="J47" s="43">
        <f t="shared" si="0"/>
        <v>60.096249999999998</v>
      </c>
      <c r="K47" s="43">
        <f t="shared" si="1"/>
        <v>1262.02125</v>
      </c>
      <c r="L47" s="39" t="s">
        <v>22</v>
      </c>
      <c r="M47" s="39"/>
      <c r="N47" s="9"/>
    </row>
    <row r="48" spans="1:14" ht="14.4" x14ac:dyDescent="0.25">
      <c r="A48" s="39">
        <v>35</v>
      </c>
      <c r="B48" s="41">
        <v>99134667</v>
      </c>
      <c r="C48" s="41" t="s">
        <v>90</v>
      </c>
      <c r="D48" s="41" t="s">
        <v>91</v>
      </c>
      <c r="E48" s="40" t="s">
        <v>20</v>
      </c>
      <c r="F48" s="42" t="s">
        <v>21</v>
      </c>
      <c r="G48" s="40"/>
      <c r="H48" s="40">
        <v>36</v>
      </c>
      <c r="I48" s="43">
        <v>480.77</v>
      </c>
      <c r="J48" s="43">
        <f t="shared" si="0"/>
        <v>60.096249999999998</v>
      </c>
      <c r="K48" s="43">
        <f t="shared" si="1"/>
        <v>2163.4650000000001</v>
      </c>
      <c r="L48" s="39" t="s">
        <v>22</v>
      </c>
      <c r="M48" s="39"/>
      <c r="N48" s="9"/>
    </row>
    <row r="49" spans="1:14" ht="14.4" x14ac:dyDescent="0.25">
      <c r="A49" s="39">
        <v>36</v>
      </c>
      <c r="B49" s="41">
        <v>99134670</v>
      </c>
      <c r="C49" s="41" t="s">
        <v>92</v>
      </c>
      <c r="D49" s="41" t="s">
        <v>93</v>
      </c>
      <c r="E49" s="40" t="s">
        <v>20</v>
      </c>
      <c r="F49" s="42" t="s">
        <v>21</v>
      </c>
      <c r="G49" s="40"/>
      <c r="H49" s="40">
        <v>18</v>
      </c>
      <c r="I49" s="43">
        <v>480.77</v>
      </c>
      <c r="J49" s="43">
        <f t="shared" si="0"/>
        <v>60.096249999999998</v>
      </c>
      <c r="K49" s="43">
        <f t="shared" si="1"/>
        <v>1081.7325000000001</v>
      </c>
      <c r="L49" s="39" t="s">
        <v>22</v>
      </c>
      <c r="M49" s="39"/>
      <c r="N49" s="9"/>
    </row>
    <row r="50" spans="1:14" ht="14.4" x14ac:dyDescent="0.25">
      <c r="A50" s="39">
        <v>37</v>
      </c>
      <c r="B50" s="41">
        <v>99134827</v>
      </c>
      <c r="C50" s="41" t="s">
        <v>94</v>
      </c>
      <c r="D50" s="41" t="s">
        <v>95</v>
      </c>
      <c r="E50" s="40" t="s">
        <v>20</v>
      </c>
      <c r="F50" s="42" t="s">
        <v>21</v>
      </c>
      <c r="G50" s="40"/>
      <c r="H50" s="40">
        <v>26</v>
      </c>
      <c r="I50" s="43">
        <v>480.77</v>
      </c>
      <c r="J50" s="43">
        <f t="shared" si="0"/>
        <v>60.096249999999998</v>
      </c>
      <c r="K50" s="43">
        <f t="shared" si="1"/>
        <v>1562.5025000000001</v>
      </c>
      <c r="L50" s="39" t="s">
        <v>22</v>
      </c>
      <c r="M50" s="39"/>
      <c r="N50" s="9"/>
    </row>
    <row r="51" spans="1:14" ht="14.4" x14ac:dyDescent="0.25">
      <c r="A51" s="39">
        <v>38</v>
      </c>
      <c r="B51" s="41">
        <v>99134835</v>
      </c>
      <c r="C51" s="41" t="s">
        <v>96</v>
      </c>
      <c r="D51" s="41" t="s">
        <v>97</v>
      </c>
      <c r="E51" s="40" t="s">
        <v>20</v>
      </c>
      <c r="F51" s="42" t="s">
        <v>21</v>
      </c>
      <c r="G51" s="40"/>
      <c r="H51" s="40">
        <v>21</v>
      </c>
      <c r="I51" s="43">
        <v>480.77</v>
      </c>
      <c r="J51" s="43">
        <f t="shared" si="0"/>
        <v>60.096249999999998</v>
      </c>
      <c r="K51" s="43">
        <f t="shared" si="1"/>
        <v>1262.02125</v>
      </c>
      <c r="L51" s="39" t="s">
        <v>22</v>
      </c>
      <c r="M51" s="39"/>
      <c r="N51" s="9"/>
    </row>
    <row r="52" spans="1:14" ht="14.4" x14ac:dyDescent="0.25">
      <c r="A52" s="39">
        <v>39</v>
      </c>
      <c r="B52" s="41">
        <v>99134836</v>
      </c>
      <c r="C52" s="41" t="s">
        <v>98</v>
      </c>
      <c r="D52" s="41" t="s">
        <v>99</v>
      </c>
      <c r="E52" s="40" t="s">
        <v>20</v>
      </c>
      <c r="F52" s="42" t="s">
        <v>21</v>
      </c>
      <c r="G52" s="40"/>
      <c r="H52" s="40">
        <v>8</v>
      </c>
      <c r="I52" s="43">
        <v>480.77</v>
      </c>
      <c r="J52" s="43">
        <f t="shared" si="0"/>
        <v>60.096249999999998</v>
      </c>
      <c r="K52" s="43">
        <f t="shared" si="1"/>
        <v>480.77</v>
      </c>
      <c r="L52" s="39" t="s">
        <v>22</v>
      </c>
      <c r="M52" s="39"/>
      <c r="N52" s="9"/>
    </row>
    <row r="53" spans="1:14" ht="14.4" x14ac:dyDescent="0.25">
      <c r="A53" s="39">
        <v>40</v>
      </c>
      <c r="B53" s="41">
        <v>99135024</v>
      </c>
      <c r="C53" s="41" t="s">
        <v>100</v>
      </c>
      <c r="D53" s="41" t="s">
        <v>101</v>
      </c>
      <c r="E53" s="40" t="s">
        <v>20</v>
      </c>
      <c r="F53" s="42" t="s">
        <v>21</v>
      </c>
      <c r="G53" s="40"/>
      <c r="H53" s="40">
        <v>4</v>
      </c>
      <c r="I53" s="43">
        <v>480.77</v>
      </c>
      <c r="J53" s="43">
        <f t="shared" si="0"/>
        <v>60.096249999999998</v>
      </c>
      <c r="K53" s="43">
        <f t="shared" si="1"/>
        <v>240.38499999999999</v>
      </c>
      <c r="L53" s="39" t="s">
        <v>22</v>
      </c>
      <c r="M53" s="39"/>
      <c r="N53" s="9"/>
    </row>
    <row r="54" spans="1:14" ht="14.4" x14ac:dyDescent="0.25">
      <c r="A54" s="39">
        <v>41</v>
      </c>
      <c r="B54" s="41">
        <v>99135028</v>
      </c>
      <c r="C54" s="41" t="s">
        <v>102</v>
      </c>
      <c r="D54" s="41" t="s">
        <v>103</v>
      </c>
      <c r="E54" s="40" t="s">
        <v>20</v>
      </c>
      <c r="F54" s="42" t="s">
        <v>21</v>
      </c>
      <c r="G54" s="40"/>
      <c r="H54" s="40">
        <v>8</v>
      </c>
      <c r="I54" s="43">
        <v>480.77</v>
      </c>
      <c r="J54" s="43">
        <f t="shared" si="0"/>
        <v>60.096249999999998</v>
      </c>
      <c r="K54" s="43">
        <f t="shared" si="1"/>
        <v>480.77</v>
      </c>
      <c r="L54" s="39" t="s">
        <v>22</v>
      </c>
      <c r="M54" s="39"/>
      <c r="N54" s="9"/>
    </row>
    <row r="55" spans="1:14" ht="14.4" x14ac:dyDescent="0.25">
      <c r="A55" s="39">
        <v>42</v>
      </c>
      <c r="B55" s="41">
        <v>99135605</v>
      </c>
      <c r="C55" s="41" t="s">
        <v>104</v>
      </c>
      <c r="D55" s="41" t="s">
        <v>105</v>
      </c>
      <c r="E55" s="40" t="s">
        <v>20</v>
      </c>
      <c r="F55" s="42" t="s">
        <v>21</v>
      </c>
      <c r="G55" s="40"/>
      <c r="H55" s="40">
        <v>6</v>
      </c>
      <c r="I55" s="43">
        <v>480.77</v>
      </c>
      <c r="J55" s="43">
        <f t="shared" si="0"/>
        <v>60.096249999999998</v>
      </c>
      <c r="K55" s="43">
        <f t="shared" si="1"/>
        <v>360.57749999999999</v>
      </c>
      <c r="L55" s="39" t="s">
        <v>22</v>
      </c>
      <c r="M55" s="39"/>
      <c r="N55" s="9"/>
    </row>
    <row r="56" spans="1:14" ht="14.4" x14ac:dyDescent="0.25">
      <c r="A56" s="39">
        <v>43</v>
      </c>
      <c r="B56" s="41">
        <v>99135607</v>
      </c>
      <c r="C56" s="41" t="s">
        <v>106</v>
      </c>
      <c r="D56" s="41" t="s">
        <v>104</v>
      </c>
      <c r="E56" s="40" t="s">
        <v>20</v>
      </c>
      <c r="F56" s="42" t="s">
        <v>21</v>
      </c>
      <c r="G56" s="40"/>
      <c r="H56" s="40">
        <v>7</v>
      </c>
      <c r="I56" s="43">
        <v>480.77</v>
      </c>
      <c r="J56" s="43">
        <f t="shared" si="0"/>
        <v>60.096249999999998</v>
      </c>
      <c r="K56" s="43">
        <f t="shared" si="1"/>
        <v>420.67374999999998</v>
      </c>
      <c r="L56" s="39" t="s">
        <v>22</v>
      </c>
      <c r="M56" s="39"/>
      <c r="N56" s="9"/>
    </row>
    <row r="57" spans="1:14" ht="14.4" x14ac:dyDescent="0.25">
      <c r="A57" s="39">
        <v>44</v>
      </c>
      <c r="B57" s="41">
        <v>99135611</v>
      </c>
      <c r="C57" s="41" t="s">
        <v>107</v>
      </c>
      <c r="D57" s="41" t="s">
        <v>108</v>
      </c>
      <c r="E57" s="40" t="s">
        <v>20</v>
      </c>
      <c r="F57" s="42" t="s">
        <v>21</v>
      </c>
      <c r="G57" s="40"/>
      <c r="H57" s="40">
        <v>20</v>
      </c>
      <c r="I57" s="43">
        <v>480.77</v>
      </c>
      <c r="J57" s="43">
        <f t="shared" si="0"/>
        <v>60.096249999999998</v>
      </c>
      <c r="K57" s="43">
        <f t="shared" si="1"/>
        <v>1201.925</v>
      </c>
      <c r="L57" s="39" t="s">
        <v>22</v>
      </c>
      <c r="M57" s="39"/>
      <c r="N57" s="9"/>
    </row>
    <row r="58" spans="1:14" ht="14.4" x14ac:dyDescent="0.25">
      <c r="A58" s="39">
        <v>45</v>
      </c>
      <c r="B58" s="41">
        <v>99135760</v>
      </c>
      <c r="C58" s="41" t="s">
        <v>109</v>
      </c>
      <c r="D58" s="41" t="s">
        <v>110</v>
      </c>
      <c r="E58" s="40" t="s">
        <v>20</v>
      </c>
      <c r="F58" s="42" t="s">
        <v>21</v>
      </c>
      <c r="G58" s="40"/>
      <c r="H58" s="40">
        <v>20</v>
      </c>
      <c r="I58" s="43">
        <v>480.77</v>
      </c>
      <c r="J58" s="43">
        <f t="shared" si="0"/>
        <v>60.096249999999998</v>
      </c>
      <c r="K58" s="43">
        <f t="shared" si="1"/>
        <v>1201.925</v>
      </c>
      <c r="L58" s="39" t="s">
        <v>22</v>
      </c>
      <c r="M58" s="39"/>
      <c r="N58" s="9"/>
    </row>
    <row r="59" spans="1:14" ht="14.4" x14ac:dyDescent="0.25">
      <c r="A59" s="39">
        <v>46</v>
      </c>
      <c r="B59" s="41">
        <v>72232205</v>
      </c>
      <c r="C59" s="41" t="s">
        <v>111</v>
      </c>
      <c r="D59" s="41" t="s">
        <v>112</v>
      </c>
      <c r="E59" s="40" t="s">
        <v>20</v>
      </c>
      <c r="F59" s="42" t="s">
        <v>21</v>
      </c>
      <c r="G59" s="40"/>
      <c r="H59" s="40">
        <v>1</v>
      </c>
      <c r="I59" s="43">
        <v>480.77</v>
      </c>
      <c r="J59" s="43">
        <f t="shared" si="0"/>
        <v>60.096249999999998</v>
      </c>
      <c r="K59" s="43">
        <f t="shared" si="1"/>
        <v>60.096249999999998</v>
      </c>
      <c r="L59" s="39" t="s">
        <v>22</v>
      </c>
      <c r="M59" s="39"/>
      <c r="N59" s="9"/>
    </row>
    <row r="60" spans="1:14" ht="14.4" x14ac:dyDescent="0.25">
      <c r="A60" s="39">
        <v>47</v>
      </c>
      <c r="B60" s="41">
        <v>99124081</v>
      </c>
      <c r="C60" s="41" t="s">
        <v>113</v>
      </c>
      <c r="D60" s="41" t="s">
        <v>114</v>
      </c>
      <c r="E60" s="40" t="s">
        <v>20</v>
      </c>
      <c r="F60" s="42" t="s">
        <v>21</v>
      </c>
      <c r="G60" s="40"/>
      <c r="H60" s="40">
        <v>16</v>
      </c>
      <c r="I60" s="43">
        <v>480.77</v>
      </c>
      <c r="J60" s="43">
        <f t="shared" si="0"/>
        <v>60.096249999999998</v>
      </c>
      <c r="K60" s="43">
        <f t="shared" si="1"/>
        <v>961.54</v>
      </c>
      <c r="L60" s="39" t="s">
        <v>22</v>
      </c>
      <c r="M60" s="39"/>
      <c r="N60" s="9"/>
    </row>
    <row r="61" spans="1:14" ht="14.4" x14ac:dyDescent="0.25">
      <c r="A61" s="39">
        <v>48</v>
      </c>
      <c r="B61" s="41">
        <v>99124082</v>
      </c>
      <c r="C61" s="41" t="s">
        <v>115</v>
      </c>
      <c r="D61" s="41" t="s">
        <v>116</v>
      </c>
      <c r="E61" s="40" t="s">
        <v>20</v>
      </c>
      <c r="F61" s="42" t="s">
        <v>21</v>
      </c>
      <c r="G61" s="40"/>
      <c r="H61" s="40">
        <v>34</v>
      </c>
      <c r="I61" s="43">
        <v>480.77</v>
      </c>
      <c r="J61" s="43">
        <f t="shared" si="0"/>
        <v>60.096249999999998</v>
      </c>
      <c r="K61" s="43">
        <f t="shared" si="1"/>
        <v>2043.2725</v>
      </c>
      <c r="L61" s="39" t="s">
        <v>22</v>
      </c>
      <c r="M61" s="39"/>
      <c r="N61" s="9"/>
    </row>
    <row r="62" spans="1:14" ht="14.4" x14ac:dyDescent="0.25">
      <c r="A62" s="39">
        <v>49</v>
      </c>
      <c r="B62" s="41">
        <v>99134610</v>
      </c>
      <c r="C62" s="41" t="s">
        <v>117</v>
      </c>
      <c r="D62" s="41" t="s">
        <v>118</v>
      </c>
      <c r="E62" s="40" t="s">
        <v>20</v>
      </c>
      <c r="F62" s="42" t="s">
        <v>21</v>
      </c>
      <c r="G62" s="40"/>
      <c r="H62" s="40">
        <v>6</v>
      </c>
      <c r="I62" s="43">
        <v>480.77</v>
      </c>
      <c r="J62" s="43">
        <f t="shared" si="0"/>
        <v>60.096249999999998</v>
      </c>
      <c r="K62" s="43">
        <f t="shared" si="1"/>
        <v>360.57749999999999</v>
      </c>
      <c r="L62" s="39" t="s">
        <v>22</v>
      </c>
      <c r="M62" s="39"/>
      <c r="N62" s="9"/>
    </row>
    <row r="63" spans="1:14" ht="14.4" x14ac:dyDescent="0.25">
      <c r="A63" s="39">
        <v>50</v>
      </c>
      <c r="B63" s="41">
        <v>72222009</v>
      </c>
      <c r="C63" s="41" t="s">
        <v>119</v>
      </c>
      <c r="D63" s="41" t="s">
        <v>120</v>
      </c>
      <c r="E63" s="40" t="s">
        <v>20</v>
      </c>
      <c r="F63" s="42" t="s">
        <v>21</v>
      </c>
      <c r="G63" s="40"/>
      <c r="H63" s="40">
        <v>8</v>
      </c>
      <c r="I63" s="43">
        <v>480.77</v>
      </c>
      <c r="J63" s="43">
        <f t="shared" si="0"/>
        <v>60.096249999999998</v>
      </c>
      <c r="K63" s="43">
        <f t="shared" si="1"/>
        <v>480.77</v>
      </c>
      <c r="L63" s="39" t="s">
        <v>22</v>
      </c>
      <c r="M63" s="39"/>
      <c r="N63" s="9"/>
    </row>
    <row r="64" spans="1:14" ht="14.4" x14ac:dyDescent="0.25">
      <c r="A64" s="39">
        <v>51</v>
      </c>
      <c r="B64" s="41">
        <v>72232158</v>
      </c>
      <c r="C64" s="41" t="s">
        <v>121</v>
      </c>
      <c r="D64" s="41" t="s">
        <v>122</v>
      </c>
      <c r="E64" s="40" t="s">
        <v>20</v>
      </c>
      <c r="F64" s="42" t="s">
        <v>21</v>
      </c>
      <c r="G64" s="40"/>
      <c r="H64" s="40">
        <v>1</v>
      </c>
      <c r="I64" s="43">
        <v>480.77</v>
      </c>
      <c r="J64" s="43">
        <f t="shared" si="0"/>
        <v>60.096249999999998</v>
      </c>
      <c r="K64" s="43">
        <f t="shared" si="1"/>
        <v>60.096249999999998</v>
      </c>
      <c r="L64" s="39" t="s">
        <v>22</v>
      </c>
      <c r="M64" s="39"/>
      <c r="N64" s="9"/>
    </row>
    <row r="65" spans="1:14" ht="14.4" x14ac:dyDescent="0.25">
      <c r="A65" s="39">
        <v>52</v>
      </c>
      <c r="B65" s="41">
        <v>99124196</v>
      </c>
      <c r="C65" s="41" t="s">
        <v>123</v>
      </c>
      <c r="D65" s="41" t="s">
        <v>124</v>
      </c>
      <c r="E65" s="40" t="s">
        <v>20</v>
      </c>
      <c r="F65" s="42" t="s">
        <v>21</v>
      </c>
      <c r="G65" s="40"/>
      <c r="H65" s="40">
        <v>49</v>
      </c>
      <c r="I65" s="43">
        <v>480.77</v>
      </c>
      <c r="J65" s="43">
        <f t="shared" si="0"/>
        <v>60.096249999999998</v>
      </c>
      <c r="K65" s="43">
        <f t="shared" si="1"/>
        <v>2944.7162499999999</v>
      </c>
      <c r="L65" s="39" t="s">
        <v>22</v>
      </c>
      <c r="M65" s="39"/>
      <c r="N65" s="9"/>
    </row>
    <row r="66" spans="1:14" ht="14.4" x14ac:dyDescent="0.25">
      <c r="A66" s="39">
        <v>53</v>
      </c>
      <c r="B66" s="41">
        <v>99124170</v>
      </c>
      <c r="C66" s="41" t="s">
        <v>125</v>
      </c>
      <c r="D66" s="41" t="s">
        <v>126</v>
      </c>
      <c r="E66" s="40" t="s">
        <v>20</v>
      </c>
      <c r="F66" s="42" t="s">
        <v>21</v>
      </c>
      <c r="G66" s="40"/>
      <c r="H66" s="40">
        <v>4</v>
      </c>
      <c r="I66" s="43">
        <v>480.77</v>
      </c>
      <c r="J66" s="43">
        <f t="shared" si="0"/>
        <v>60.096249999999998</v>
      </c>
      <c r="K66" s="43">
        <f t="shared" si="1"/>
        <v>240.38499999999999</v>
      </c>
      <c r="L66" s="39" t="s">
        <v>22</v>
      </c>
      <c r="M66" s="39"/>
      <c r="N66" s="9"/>
    </row>
    <row r="67" spans="1:14" ht="14.4" x14ac:dyDescent="0.25">
      <c r="A67" s="39">
        <v>54</v>
      </c>
      <c r="B67" s="41">
        <v>99124712</v>
      </c>
      <c r="C67" s="41" t="s">
        <v>127</v>
      </c>
      <c r="D67" s="41" t="s">
        <v>128</v>
      </c>
      <c r="E67" s="40" t="s">
        <v>20</v>
      </c>
      <c r="F67" s="42" t="s">
        <v>21</v>
      </c>
      <c r="G67" s="40"/>
      <c r="H67" s="40">
        <v>5</v>
      </c>
      <c r="I67" s="43">
        <v>542.04</v>
      </c>
      <c r="J67" s="43">
        <f t="shared" si="0"/>
        <v>67.754999999999995</v>
      </c>
      <c r="K67" s="43">
        <f t="shared" si="1"/>
        <v>338.77499999999998</v>
      </c>
      <c r="L67" s="39" t="s">
        <v>22</v>
      </c>
      <c r="M67" s="39"/>
      <c r="N67" s="9"/>
    </row>
    <row r="68" spans="1:14" ht="14.4" x14ac:dyDescent="0.25">
      <c r="A68" s="39">
        <v>55</v>
      </c>
      <c r="B68" s="41">
        <v>99135691</v>
      </c>
      <c r="C68" s="41" t="s">
        <v>129</v>
      </c>
      <c r="D68" s="41" t="s">
        <v>87</v>
      </c>
      <c r="E68" s="40" t="s">
        <v>20</v>
      </c>
      <c r="F68" s="42" t="s">
        <v>21</v>
      </c>
      <c r="G68" s="40"/>
      <c r="H68" s="40">
        <v>7</v>
      </c>
      <c r="I68" s="43">
        <v>480.77</v>
      </c>
      <c r="J68" s="43">
        <f t="shared" si="0"/>
        <v>60.096249999999998</v>
      </c>
      <c r="K68" s="43">
        <f t="shared" si="1"/>
        <v>420.67374999999998</v>
      </c>
      <c r="L68" s="39" t="s">
        <v>22</v>
      </c>
      <c r="M68" s="39"/>
      <c r="N68" s="9"/>
    </row>
    <row r="69" spans="1:14" ht="14.4" x14ac:dyDescent="0.25">
      <c r="A69" s="39">
        <v>56</v>
      </c>
      <c r="B69" s="41">
        <v>99136279</v>
      </c>
      <c r="C69" s="41" t="s">
        <v>130</v>
      </c>
      <c r="D69" s="41" t="s">
        <v>131</v>
      </c>
      <c r="E69" s="40" t="s">
        <v>20</v>
      </c>
      <c r="F69" s="42" t="s">
        <v>21</v>
      </c>
      <c r="G69" s="40"/>
      <c r="H69" s="40">
        <v>17</v>
      </c>
      <c r="I69" s="43">
        <v>480.77</v>
      </c>
      <c r="J69" s="43">
        <f t="shared" si="0"/>
        <v>60.096249999999998</v>
      </c>
      <c r="K69" s="43">
        <f t="shared" si="1"/>
        <v>1021.63625</v>
      </c>
      <c r="L69" s="39" t="s">
        <v>22</v>
      </c>
      <c r="M69" s="39"/>
      <c r="N69" s="9"/>
    </row>
    <row r="70" spans="1:14" ht="14.4" x14ac:dyDescent="0.25">
      <c r="A70" s="39">
        <v>57</v>
      </c>
      <c r="B70" s="41">
        <v>99136379</v>
      </c>
      <c r="C70" s="41" t="s">
        <v>96</v>
      </c>
      <c r="D70" s="41" t="s">
        <v>132</v>
      </c>
      <c r="E70" s="40" t="s">
        <v>20</v>
      </c>
      <c r="F70" s="42" t="s">
        <v>21</v>
      </c>
      <c r="G70" s="40"/>
      <c r="H70" s="40">
        <v>22</v>
      </c>
      <c r="I70" s="43">
        <v>480.77</v>
      </c>
      <c r="J70" s="43">
        <f t="shared" si="0"/>
        <v>60.096249999999998</v>
      </c>
      <c r="K70" s="43">
        <f t="shared" si="1"/>
        <v>1322.1174999999998</v>
      </c>
      <c r="L70" s="39" t="s">
        <v>22</v>
      </c>
      <c r="M70" s="39"/>
      <c r="N70" s="9"/>
    </row>
    <row r="71" spans="1:14" ht="14.4" x14ac:dyDescent="0.25">
      <c r="A71" s="39">
        <v>58</v>
      </c>
      <c r="B71" s="41">
        <v>99135240</v>
      </c>
      <c r="C71" s="41" t="s">
        <v>133</v>
      </c>
      <c r="D71" s="41" t="s">
        <v>134</v>
      </c>
      <c r="E71" s="40" t="s">
        <v>20</v>
      </c>
      <c r="F71" s="42" t="s">
        <v>21</v>
      </c>
      <c r="G71" s="40"/>
      <c r="H71" s="40">
        <v>6</v>
      </c>
      <c r="I71" s="43">
        <v>480.77</v>
      </c>
      <c r="J71" s="43">
        <f t="shared" si="0"/>
        <v>60.096249999999998</v>
      </c>
      <c r="K71" s="43">
        <f t="shared" si="1"/>
        <v>360.57749999999999</v>
      </c>
      <c r="L71" s="39" t="s">
        <v>22</v>
      </c>
      <c r="M71" s="39"/>
      <c r="N71" s="9"/>
    </row>
    <row r="72" spans="1:14" ht="14.4" x14ac:dyDescent="0.25">
      <c r="A72" s="39">
        <v>59</v>
      </c>
      <c r="B72" s="41">
        <v>99136381</v>
      </c>
      <c r="C72" s="41" t="s">
        <v>135</v>
      </c>
      <c r="D72" s="41" t="s">
        <v>136</v>
      </c>
      <c r="E72" s="40" t="s">
        <v>20</v>
      </c>
      <c r="F72" s="42" t="s">
        <v>21</v>
      </c>
      <c r="G72" s="40"/>
      <c r="H72" s="40">
        <v>7</v>
      </c>
      <c r="I72" s="43">
        <v>480.77</v>
      </c>
      <c r="J72" s="43">
        <f t="shared" si="0"/>
        <v>60.096249999999998</v>
      </c>
      <c r="K72" s="43">
        <f t="shared" si="1"/>
        <v>420.67374999999998</v>
      </c>
      <c r="L72" s="39" t="s">
        <v>22</v>
      </c>
      <c r="M72" s="39"/>
      <c r="N72" s="9"/>
    </row>
    <row r="73" spans="1:14" ht="14.4" x14ac:dyDescent="0.25">
      <c r="A73" s="39">
        <v>60</v>
      </c>
      <c r="B73" s="41">
        <v>99124414</v>
      </c>
      <c r="C73" s="41" t="s">
        <v>137</v>
      </c>
      <c r="D73" s="41" t="s">
        <v>138</v>
      </c>
      <c r="E73" s="40" t="s">
        <v>20</v>
      </c>
      <c r="F73" s="42" t="s">
        <v>21</v>
      </c>
      <c r="G73" s="40"/>
      <c r="H73" s="40">
        <v>8</v>
      </c>
      <c r="I73" s="43">
        <v>480.77</v>
      </c>
      <c r="J73" s="43">
        <f t="shared" si="0"/>
        <v>60.096249999999998</v>
      </c>
      <c r="K73" s="43">
        <f t="shared" si="1"/>
        <v>480.77</v>
      </c>
      <c r="L73" s="39" t="s">
        <v>22</v>
      </c>
      <c r="M73" s="39"/>
      <c r="N73" s="9"/>
    </row>
    <row r="74" spans="1:14" ht="14.4" x14ac:dyDescent="0.25">
      <c r="A74" s="39">
        <v>61</v>
      </c>
      <c r="B74" s="41">
        <v>99134665</v>
      </c>
      <c r="C74" s="41" t="s">
        <v>139</v>
      </c>
      <c r="D74" s="41" t="s">
        <v>56</v>
      </c>
      <c r="E74" s="40" t="s">
        <v>20</v>
      </c>
      <c r="F74" s="42" t="s">
        <v>21</v>
      </c>
      <c r="G74" s="40"/>
      <c r="H74" s="40">
        <v>8</v>
      </c>
      <c r="I74" s="43">
        <v>480.77</v>
      </c>
      <c r="J74" s="43">
        <f t="shared" si="0"/>
        <v>60.096249999999998</v>
      </c>
      <c r="K74" s="43">
        <f t="shared" si="1"/>
        <v>480.77</v>
      </c>
      <c r="L74" s="39" t="s">
        <v>22</v>
      </c>
      <c r="M74" s="39"/>
      <c r="N74" s="9"/>
    </row>
    <row r="75" spans="1:14" ht="14.4" x14ac:dyDescent="0.25">
      <c r="A75" s="39">
        <v>62</v>
      </c>
      <c r="B75" s="41">
        <v>99134789</v>
      </c>
      <c r="C75" s="41" t="s">
        <v>140</v>
      </c>
      <c r="D75" s="41" t="s">
        <v>141</v>
      </c>
      <c r="E75" s="40" t="s">
        <v>20</v>
      </c>
      <c r="F75" s="42" t="s">
        <v>21</v>
      </c>
      <c r="G75" s="40"/>
      <c r="H75" s="40">
        <v>5</v>
      </c>
      <c r="I75" s="43">
        <v>480.77</v>
      </c>
      <c r="J75" s="43">
        <f t="shared" si="0"/>
        <v>60.096249999999998</v>
      </c>
      <c r="K75" s="43">
        <f t="shared" si="1"/>
        <v>300.48124999999999</v>
      </c>
      <c r="L75" s="39" t="s">
        <v>22</v>
      </c>
      <c r="M75" s="39"/>
      <c r="N75" s="9"/>
    </row>
    <row r="76" spans="1:14" ht="14.4" x14ac:dyDescent="0.25">
      <c r="A76" s="39">
        <v>63</v>
      </c>
      <c r="B76" s="41">
        <v>99136626</v>
      </c>
      <c r="C76" s="41" t="s">
        <v>142</v>
      </c>
      <c r="D76" s="41" t="s">
        <v>143</v>
      </c>
      <c r="E76" s="40" t="s">
        <v>20</v>
      </c>
      <c r="F76" s="42" t="s">
        <v>21</v>
      </c>
      <c r="G76" s="40"/>
      <c r="H76" s="40">
        <v>9</v>
      </c>
      <c r="I76" s="43">
        <v>480.77</v>
      </c>
      <c r="J76" s="43">
        <f t="shared" si="0"/>
        <v>60.096249999999998</v>
      </c>
      <c r="K76" s="43">
        <f t="shared" si="1"/>
        <v>540.86625000000004</v>
      </c>
      <c r="L76" s="39" t="s">
        <v>22</v>
      </c>
      <c r="M76" s="39"/>
      <c r="N76" s="9"/>
    </row>
    <row r="77" spans="1:14" ht="14.4" x14ac:dyDescent="0.25">
      <c r="A77" s="39">
        <v>64</v>
      </c>
      <c r="B77" s="41">
        <v>99136729</v>
      </c>
      <c r="C77" s="41" t="s">
        <v>144</v>
      </c>
      <c r="D77" s="41" t="s">
        <v>145</v>
      </c>
      <c r="E77" s="40" t="s">
        <v>20</v>
      </c>
      <c r="F77" s="42" t="s">
        <v>21</v>
      </c>
      <c r="G77" s="40"/>
      <c r="H77" s="40">
        <v>2</v>
      </c>
      <c r="I77" s="43">
        <v>480.77</v>
      </c>
      <c r="J77" s="43">
        <f t="shared" si="0"/>
        <v>60.096249999999998</v>
      </c>
      <c r="K77" s="43">
        <f t="shared" si="1"/>
        <v>120.1925</v>
      </c>
      <c r="L77" s="39" t="s">
        <v>22</v>
      </c>
      <c r="M77" s="39"/>
      <c r="N77" s="9"/>
    </row>
    <row r="78" spans="1:14" ht="14.4" x14ac:dyDescent="0.25">
      <c r="A78" s="39">
        <v>65</v>
      </c>
      <c r="B78" s="41">
        <v>72232107</v>
      </c>
      <c r="C78" s="41" t="s">
        <v>146</v>
      </c>
      <c r="D78" s="41" t="s">
        <v>95</v>
      </c>
      <c r="E78" s="40" t="s">
        <v>20</v>
      </c>
      <c r="F78" s="42" t="s">
        <v>21</v>
      </c>
      <c r="G78" s="40"/>
      <c r="H78" s="40">
        <v>27</v>
      </c>
      <c r="I78" s="43">
        <v>480.77</v>
      </c>
      <c r="J78" s="43">
        <f t="shared" ref="J78:J98" si="2">+I78/8</f>
        <v>60.096249999999998</v>
      </c>
      <c r="K78" s="43">
        <f t="shared" ref="K78:K98" si="3">+H78*J78</f>
        <v>1622.5987499999999</v>
      </c>
      <c r="L78" s="39" t="s">
        <v>22</v>
      </c>
      <c r="M78" s="39"/>
      <c r="N78" s="9"/>
    </row>
    <row r="79" spans="1:14" ht="14.4" x14ac:dyDescent="0.25">
      <c r="A79" s="39">
        <v>66</v>
      </c>
      <c r="B79" s="41">
        <v>99134082</v>
      </c>
      <c r="C79" s="41" t="s">
        <v>147</v>
      </c>
      <c r="D79" s="41" t="s">
        <v>61</v>
      </c>
      <c r="E79" s="40" t="s">
        <v>20</v>
      </c>
      <c r="F79" s="42" t="s">
        <v>21</v>
      </c>
      <c r="G79" s="40"/>
      <c r="H79" s="40">
        <v>1</v>
      </c>
      <c r="I79" s="43">
        <v>480.77</v>
      </c>
      <c r="J79" s="43">
        <f t="shared" si="2"/>
        <v>60.096249999999998</v>
      </c>
      <c r="K79" s="43">
        <f t="shared" si="3"/>
        <v>60.096249999999998</v>
      </c>
      <c r="L79" s="39" t="s">
        <v>22</v>
      </c>
      <c r="M79" s="39"/>
      <c r="N79" s="9"/>
    </row>
    <row r="80" spans="1:14" ht="14.4" x14ac:dyDescent="0.25">
      <c r="A80" s="39">
        <v>67</v>
      </c>
      <c r="B80" s="41">
        <v>99136892</v>
      </c>
      <c r="C80" s="41" t="s">
        <v>148</v>
      </c>
      <c r="D80" s="41" t="s">
        <v>149</v>
      </c>
      <c r="E80" s="40" t="s">
        <v>20</v>
      </c>
      <c r="F80" s="42" t="s">
        <v>21</v>
      </c>
      <c r="G80" s="40"/>
      <c r="H80" s="40">
        <v>21</v>
      </c>
      <c r="I80" s="43">
        <v>480.77</v>
      </c>
      <c r="J80" s="43">
        <f t="shared" si="2"/>
        <v>60.096249999999998</v>
      </c>
      <c r="K80" s="43">
        <f t="shared" si="3"/>
        <v>1262.02125</v>
      </c>
      <c r="L80" s="39" t="s">
        <v>22</v>
      </c>
      <c r="M80" s="39"/>
      <c r="N80" s="9"/>
    </row>
    <row r="81" spans="1:14" ht="14.4" x14ac:dyDescent="0.25">
      <c r="A81" s="39">
        <v>68</v>
      </c>
      <c r="B81" s="41">
        <v>99135487</v>
      </c>
      <c r="C81" s="41" t="s">
        <v>150</v>
      </c>
      <c r="D81" s="41" t="s">
        <v>151</v>
      </c>
      <c r="E81" s="40" t="s">
        <v>20</v>
      </c>
      <c r="F81" s="42" t="s">
        <v>21</v>
      </c>
      <c r="G81" s="40"/>
      <c r="H81" s="40">
        <v>8</v>
      </c>
      <c r="I81" s="43">
        <v>480.77</v>
      </c>
      <c r="J81" s="43">
        <f t="shared" si="2"/>
        <v>60.096249999999998</v>
      </c>
      <c r="K81" s="43">
        <f t="shared" si="3"/>
        <v>480.77</v>
      </c>
      <c r="L81" s="39" t="s">
        <v>22</v>
      </c>
      <c r="M81" s="39"/>
      <c r="N81" s="9"/>
    </row>
    <row r="82" spans="1:14" ht="14.4" x14ac:dyDescent="0.25">
      <c r="A82" s="39">
        <v>69</v>
      </c>
      <c r="B82" s="41">
        <v>99135489</v>
      </c>
      <c r="C82" s="41" t="s">
        <v>152</v>
      </c>
      <c r="D82" s="41" t="s">
        <v>153</v>
      </c>
      <c r="E82" s="40" t="s">
        <v>20</v>
      </c>
      <c r="F82" s="42" t="s">
        <v>21</v>
      </c>
      <c r="G82" s="40"/>
      <c r="H82" s="40">
        <v>16</v>
      </c>
      <c r="I82" s="43">
        <v>480.77</v>
      </c>
      <c r="J82" s="43">
        <f t="shared" si="2"/>
        <v>60.096249999999998</v>
      </c>
      <c r="K82" s="43">
        <f t="shared" si="3"/>
        <v>961.54</v>
      </c>
      <c r="L82" s="39" t="s">
        <v>22</v>
      </c>
      <c r="M82" s="39"/>
      <c r="N82" s="9"/>
    </row>
    <row r="83" spans="1:14" ht="14.4" x14ac:dyDescent="0.25">
      <c r="A83" s="39">
        <v>70</v>
      </c>
      <c r="B83" s="41">
        <v>99135775</v>
      </c>
      <c r="C83" s="41" t="s">
        <v>154</v>
      </c>
      <c r="D83" s="41" t="s">
        <v>155</v>
      </c>
      <c r="E83" s="40" t="s">
        <v>20</v>
      </c>
      <c r="F83" s="42" t="s">
        <v>21</v>
      </c>
      <c r="G83" s="40"/>
      <c r="H83" s="40">
        <v>5</v>
      </c>
      <c r="I83" s="43">
        <v>480.77</v>
      </c>
      <c r="J83" s="43">
        <f t="shared" si="2"/>
        <v>60.096249999999998</v>
      </c>
      <c r="K83" s="43">
        <f t="shared" si="3"/>
        <v>300.48124999999999</v>
      </c>
      <c r="L83" s="39" t="s">
        <v>22</v>
      </c>
      <c r="M83" s="39"/>
      <c r="N83" s="9"/>
    </row>
    <row r="84" spans="1:14" ht="14.4" x14ac:dyDescent="0.25">
      <c r="A84" s="39">
        <v>71</v>
      </c>
      <c r="B84" s="41">
        <v>99135798</v>
      </c>
      <c r="C84" s="41" t="s">
        <v>127</v>
      </c>
      <c r="D84" s="41" t="s">
        <v>156</v>
      </c>
      <c r="E84" s="40" t="s">
        <v>20</v>
      </c>
      <c r="F84" s="42" t="s">
        <v>21</v>
      </c>
      <c r="G84" s="40"/>
      <c r="H84" s="40">
        <v>9</v>
      </c>
      <c r="I84" s="43">
        <v>480.77</v>
      </c>
      <c r="J84" s="43">
        <f t="shared" si="2"/>
        <v>60.096249999999998</v>
      </c>
      <c r="K84" s="43">
        <f t="shared" si="3"/>
        <v>540.86625000000004</v>
      </c>
      <c r="L84" s="39" t="s">
        <v>22</v>
      </c>
      <c r="M84" s="39"/>
      <c r="N84" s="9"/>
    </row>
    <row r="85" spans="1:14" ht="14.4" x14ac:dyDescent="0.25">
      <c r="A85" s="39">
        <v>72</v>
      </c>
      <c r="B85" s="41">
        <v>99135878</v>
      </c>
      <c r="C85" s="41" t="s">
        <v>96</v>
      </c>
      <c r="D85" s="41" t="s">
        <v>95</v>
      </c>
      <c r="E85" s="40" t="s">
        <v>20</v>
      </c>
      <c r="F85" s="42" t="s">
        <v>21</v>
      </c>
      <c r="G85" s="40"/>
      <c r="H85" s="40">
        <v>21</v>
      </c>
      <c r="I85" s="43">
        <v>480.77</v>
      </c>
      <c r="J85" s="43">
        <f t="shared" si="2"/>
        <v>60.096249999999998</v>
      </c>
      <c r="K85" s="43">
        <f t="shared" si="3"/>
        <v>1262.02125</v>
      </c>
      <c r="L85" s="39" t="s">
        <v>22</v>
      </c>
      <c r="M85" s="39"/>
      <c r="N85" s="9"/>
    </row>
    <row r="86" spans="1:14" ht="14.4" x14ac:dyDescent="0.25">
      <c r="A86" s="39">
        <v>73</v>
      </c>
      <c r="B86" s="41">
        <v>99137166</v>
      </c>
      <c r="C86" s="41" t="s">
        <v>157</v>
      </c>
      <c r="D86" s="41" t="s">
        <v>47</v>
      </c>
      <c r="E86" s="40" t="s">
        <v>20</v>
      </c>
      <c r="F86" s="42" t="s">
        <v>21</v>
      </c>
      <c r="G86" s="40"/>
      <c r="H86" s="40">
        <v>21</v>
      </c>
      <c r="I86" s="43">
        <v>480.77</v>
      </c>
      <c r="J86" s="43">
        <f t="shared" si="2"/>
        <v>60.096249999999998</v>
      </c>
      <c r="K86" s="43">
        <f t="shared" si="3"/>
        <v>1262.02125</v>
      </c>
      <c r="L86" s="39" t="s">
        <v>22</v>
      </c>
      <c r="M86" s="39"/>
      <c r="N86" s="9"/>
    </row>
    <row r="87" spans="1:14" ht="14.4" x14ac:dyDescent="0.25">
      <c r="A87" s="39">
        <v>74</v>
      </c>
      <c r="B87" s="41">
        <v>99137260</v>
      </c>
      <c r="C87" s="41" t="s">
        <v>158</v>
      </c>
      <c r="D87" s="41" t="s">
        <v>159</v>
      </c>
      <c r="E87" s="40" t="s">
        <v>20</v>
      </c>
      <c r="F87" s="42" t="s">
        <v>21</v>
      </c>
      <c r="G87" s="40"/>
      <c r="H87" s="40">
        <v>18</v>
      </c>
      <c r="I87" s="43">
        <v>480.77</v>
      </c>
      <c r="J87" s="43">
        <f t="shared" si="2"/>
        <v>60.096249999999998</v>
      </c>
      <c r="K87" s="43">
        <f t="shared" si="3"/>
        <v>1081.7325000000001</v>
      </c>
      <c r="L87" s="39" t="s">
        <v>22</v>
      </c>
      <c r="M87" s="39"/>
      <c r="N87" s="9"/>
    </row>
    <row r="88" spans="1:14" ht="14.4" x14ac:dyDescent="0.25">
      <c r="A88" s="39">
        <v>75</v>
      </c>
      <c r="B88" s="41">
        <v>99137261</v>
      </c>
      <c r="C88" s="41" t="s">
        <v>160</v>
      </c>
      <c r="D88" s="41" t="s">
        <v>161</v>
      </c>
      <c r="E88" s="40" t="s">
        <v>20</v>
      </c>
      <c r="F88" s="42" t="s">
        <v>21</v>
      </c>
      <c r="G88" s="40"/>
      <c r="H88" s="40">
        <v>22</v>
      </c>
      <c r="I88" s="43">
        <v>480.77</v>
      </c>
      <c r="J88" s="43">
        <f t="shared" si="2"/>
        <v>60.096249999999998</v>
      </c>
      <c r="K88" s="43">
        <f t="shared" si="3"/>
        <v>1322.1174999999998</v>
      </c>
      <c r="L88" s="39" t="s">
        <v>22</v>
      </c>
      <c r="M88" s="39"/>
      <c r="N88" s="9"/>
    </row>
    <row r="89" spans="1:14" ht="14.4" x14ac:dyDescent="0.25">
      <c r="A89" s="39">
        <v>76</v>
      </c>
      <c r="B89" s="41"/>
      <c r="C89" s="41"/>
      <c r="D89" s="41"/>
      <c r="E89" s="40" t="s">
        <v>20</v>
      </c>
      <c r="F89" s="42"/>
      <c r="G89" s="40"/>
      <c r="H89" s="40"/>
      <c r="I89" s="43"/>
      <c r="J89" s="43">
        <f t="shared" si="2"/>
        <v>0</v>
      </c>
      <c r="K89" s="43">
        <f t="shared" si="3"/>
        <v>0</v>
      </c>
      <c r="L89" s="39" t="s">
        <v>22</v>
      </c>
      <c r="M89" s="39"/>
      <c r="N89" s="9"/>
    </row>
    <row r="90" spans="1:14" ht="14.4" x14ac:dyDescent="0.25">
      <c r="A90" s="39">
        <v>77</v>
      </c>
      <c r="B90" s="41"/>
      <c r="C90" s="41"/>
      <c r="D90" s="41"/>
      <c r="E90" s="40" t="s">
        <v>20</v>
      </c>
      <c r="F90" s="42"/>
      <c r="G90" s="40"/>
      <c r="H90" s="40"/>
      <c r="I90" s="43"/>
      <c r="J90" s="43">
        <f t="shared" si="2"/>
        <v>0</v>
      </c>
      <c r="K90" s="43">
        <f t="shared" si="3"/>
        <v>0</v>
      </c>
      <c r="L90" s="39" t="s">
        <v>22</v>
      </c>
      <c r="M90" s="39"/>
      <c r="N90" s="9"/>
    </row>
    <row r="91" spans="1:14" ht="14.4" x14ac:dyDescent="0.25">
      <c r="A91" s="39">
        <v>78</v>
      </c>
      <c r="B91" s="41"/>
      <c r="C91" s="41"/>
      <c r="D91" s="41"/>
      <c r="E91" s="40" t="s">
        <v>20</v>
      </c>
      <c r="F91" s="42"/>
      <c r="G91" s="40"/>
      <c r="H91" s="40"/>
      <c r="I91" s="43"/>
      <c r="J91" s="43">
        <f t="shared" si="2"/>
        <v>0</v>
      </c>
      <c r="K91" s="43">
        <f t="shared" si="3"/>
        <v>0</v>
      </c>
      <c r="L91" s="39" t="s">
        <v>22</v>
      </c>
      <c r="M91" s="39"/>
      <c r="N91" s="9"/>
    </row>
    <row r="92" spans="1:14" ht="14.4" x14ac:dyDescent="0.25">
      <c r="A92" s="39">
        <v>79</v>
      </c>
      <c r="B92" s="41"/>
      <c r="C92" s="41"/>
      <c r="D92" s="41"/>
      <c r="E92" s="40" t="s">
        <v>20</v>
      </c>
      <c r="F92" s="42"/>
      <c r="G92" s="40"/>
      <c r="H92" s="40"/>
      <c r="I92" s="43"/>
      <c r="J92" s="43">
        <f t="shared" si="2"/>
        <v>0</v>
      </c>
      <c r="K92" s="43">
        <f t="shared" si="3"/>
        <v>0</v>
      </c>
      <c r="L92" s="39" t="s">
        <v>22</v>
      </c>
      <c r="M92" s="39"/>
      <c r="N92" s="9"/>
    </row>
    <row r="93" spans="1:14" ht="15" customHeight="1" x14ac:dyDescent="0.25">
      <c r="A93" s="44"/>
      <c r="B93" s="2" t="s">
        <v>162</v>
      </c>
      <c r="C93" s="37"/>
      <c r="H93" s="2">
        <f>SUM(H14:H92)</f>
        <v>1259</v>
      </c>
      <c r="I93" s="45">
        <f>SUM(I14:I92)</f>
        <v>36302.83</v>
      </c>
      <c r="J93" s="45">
        <f>SUM(J14:J92)</f>
        <v>4537.8537500000002</v>
      </c>
      <c r="K93" s="45">
        <f>SUM(K14:K92)</f>
        <v>76465.347500000033</v>
      </c>
      <c r="L93" s="37"/>
      <c r="M93" s="46" t="s">
        <v>163</v>
      </c>
      <c r="N93" s="9"/>
    </row>
    <row r="94" spans="1:14" ht="15" customHeight="1" x14ac:dyDescent="0.25">
      <c r="C94" s="37"/>
      <c r="L94" s="37"/>
      <c r="M94" s="37"/>
      <c r="N94" s="9"/>
    </row>
    <row r="95" spans="1:14" ht="14.4" thickBot="1" x14ac:dyDescent="0.3">
      <c r="A95" s="47"/>
      <c r="B95" s="48" t="s">
        <v>164</v>
      </c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9"/>
    </row>
    <row r="96" spans="1:14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2:1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2:1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2:1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2:1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2:1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2:1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2:1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2:1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2:1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2:1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2:1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2:1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2:11" x14ac:dyDescent="0.25">
      <c r="B109" s="3"/>
    </row>
    <row r="110" spans="2:11" x14ac:dyDescent="0.25">
      <c r="B110" s="3"/>
    </row>
    <row r="111" spans="2:11" x14ac:dyDescent="0.25">
      <c r="B111" s="3"/>
    </row>
  </sheetData>
  <mergeCells count="4">
    <mergeCell ref="A2:N2"/>
    <mergeCell ref="B3:M3"/>
    <mergeCell ref="N3:N95"/>
    <mergeCell ref="B4:M4"/>
  </mergeCells>
  <conditionalFormatting sqref="B21:B23">
    <cfRule type="duplicateValues" dxfId="12" priority="12" stopIfTrue="1"/>
  </conditionalFormatting>
  <conditionalFormatting sqref="B56:B63">
    <cfRule type="duplicateValues" dxfId="11" priority="8" stopIfTrue="1"/>
  </conditionalFormatting>
  <conditionalFormatting sqref="B67:B68">
    <cfRule type="duplicateValues" dxfId="10" priority="7" stopIfTrue="1"/>
  </conditionalFormatting>
  <conditionalFormatting sqref="B66 B64">
    <cfRule type="duplicateValues" dxfId="9" priority="6" stopIfTrue="1"/>
  </conditionalFormatting>
  <conditionalFormatting sqref="B66">
    <cfRule type="duplicateValues" dxfId="8" priority="5" stopIfTrue="1"/>
  </conditionalFormatting>
  <conditionalFormatting sqref="B66">
    <cfRule type="duplicateValues" dxfId="7" priority="4" stopIfTrue="1"/>
  </conditionalFormatting>
  <conditionalFormatting sqref="B65">
    <cfRule type="duplicateValues" dxfId="6" priority="3" stopIfTrue="1"/>
  </conditionalFormatting>
  <conditionalFormatting sqref="B65">
    <cfRule type="duplicateValues" dxfId="5" priority="2" stopIfTrue="1"/>
  </conditionalFormatting>
  <conditionalFormatting sqref="B65">
    <cfRule type="duplicateValues" dxfId="4" priority="1" stopIfTrue="1"/>
  </conditionalFormatting>
  <conditionalFormatting sqref="B53:B55">
    <cfRule type="duplicateValues" dxfId="3" priority="9" stopIfTrue="1"/>
  </conditionalFormatting>
  <conditionalFormatting sqref="B72:B73">
    <cfRule type="duplicateValues" dxfId="2" priority="10" stopIfTrue="1"/>
  </conditionalFormatting>
  <conditionalFormatting sqref="B69:B71 B31:B52">
    <cfRule type="duplicateValues" dxfId="1" priority="11" stopIfTrue="1"/>
  </conditionalFormatting>
  <conditionalFormatting sqref="B14:B20 B24:B30 B74:B92">
    <cfRule type="duplicateValues" dxfId="0" priority="13" stopIfTrue="1"/>
  </conditionalFormatting>
  <pageMargins left="0.23622047244094491" right="0.15748031496062992" top="0.43307086614173229" bottom="0.19685039370078741" header="0.51181102362204722" footer="0.51181102362204722"/>
  <pageSetup paperSize="9" scale="6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Over Time FORM XXIII</vt:lpstr>
      <vt:lpstr>' Over Time FORM XXIII'!Print_Area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Singh</dc:creator>
  <cp:lastModifiedBy>Ritik Singh</cp:lastModifiedBy>
  <dcterms:created xsi:type="dcterms:W3CDTF">2026-04-29T14:58:08Z</dcterms:created>
  <dcterms:modified xsi:type="dcterms:W3CDTF">2026-04-29T14:58:23Z</dcterms:modified>
</cp:coreProperties>
</file>