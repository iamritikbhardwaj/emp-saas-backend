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444AE107-8EB0-42DE-B538-45050D33EF0E}" xr6:coauthVersionLast="47" xr6:coauthVersionMax="47" xr10:uidLastSave="{00000000-0000-0000-0000-000000000000}"/>
  <bookViews>
    <workbookView xWindow="-108" yWindow="-108" windowWidth="23256" windowHeight="12576" xr2:uid="{86A9C77F-EB22-4BA1-A65E-B287ECD7151B}"/>
  </bookViews>
  <sheets>
    <sheet name=" Wages Sheet FORM XVII" sheetId="1" r:id="rId1"/>
  </sheets>
  <externalReferences>
    <externalReference r:id="rId2"/>
  </externalReferences>
  <definedNames>
    <definedName name="_xlnm._FilterDatabase" localSheetId="0" hidden="1">' Wages Sheet FORM XVII'!$A$10:$W$104</definedName>
    <definedName name="_xlnm.Print_Area" localSheetId="0">' Wages Sheet FORM XVII'!$A$1:$W$104</definedName>
    <definedName name="_xlnm.Print_Titles" localSheetId="0">' Wages Sheet FORM XVII'!$1:$10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8" i="1" l="1"/>
  <c r="S104" i="1"/>
  <c r="N104" i="1"/>
  <c r="L104" i="1"/>
  <c r="J104" i="1"/>
  <c r="I104" i="1"/>
  <c r="H104" i="1"/>
  <c r="Q103" i="1"/>
  <c r="O103" i="1"/>
  <c r="M103" i="1"/>
  <c r="P103" i="1" s="1"/>
  <c r="K103" i="1"/>
  <c r="E103" i="1"/>
  <c r="D103" i="1"/>
  <c r="P102" i="1"/>
  <c r="O102" i="1"/>
  <c r="M102" i="1"/>
  <c r="Q102" i="1" s="1"/>
  <c r="K102" i="1"/>
  <c r="E102" i="1"/>
  <c r="D102" i="1"/>
  <c r="O101" i="1"/>
  <c r="K101" i="1"/>
  <c r="M101" i="1" s="1"/>
  <c r="E101" i="1"/>
  <c r="D101" i="1"/>
  <c r="O100" i="1"/>
  <c r="M100" i="1"/>
  <c r="Q100" i="1" s="1"/>
  <c r="K100" i="1"/>
  <c r="E100" i="1"/>
  <c r="D100" i="1"/>
  <c r="Q99" i="1"/>
  <c r="O99" i="1"/>
  <c r="M99" i="1"/>
  <c r="P99" i="1" s="1"/>
  <c r="K99" i="1"/>
  <c r="E99" i="1"/>
  <c r="D99" i="1"/>
  <c r="P98" i="1"/>
  <c r="O98" i="1"/>
  <c r="M98" i="1"/>
  <c r="Q98" i="1" s="1"/>
  <c r="K98" i="1"/>
  <c r="E98" i="1"/>
  <c r="D98" i="1"/>
  <c r="O97" i="1"/>
  <c r="K97" i="1"/>
  <c r="M97" i="1" s="1"/>
  <c r="E97" i="1"/>
  <c r="D97" i="1"/>
  <c r="O96" i="1"/>
  <c r="M96" i="1"/>
  <c r="Q96" i="1" s="1"/>
  <c r="K96" i="1"/>
  <c r="E96" i="1"/>
  <c r="D96" i="1"/>
  <c r="Q95" i="1"/>
  <c r="O95" i="1"/>
  <c r="M95" i="1"/>
  <c r="P95" i="1" s="1"/>
  <c r="K95" i="1"/>
  <c r="E95" i="1"/>
  <c r="D95" i="1"/>
  <c r="P94" i="1"/>
  <c r="O94" i="1"/>
  <c r="M94" i="1"/>
  <c r="Q94" i="1" s="1"/>
  <c r="K94" i="1"/>
  <c r="E94" i="1"/>
  <c r="D94" i="1"/>
  <c r="O93" i="1"/>
  <c r="K93" i="1"/>
  <c r="M93" i="1" s="1"/>
  <c r="E93" i="1"/>
  <c r="D93" i="1"/>
  <c r="O92" i="1"/>
  <c r="M92" i="1"/>
  <c r="Q92" i="1" s="1"/>
  <c r="K92" i="1"/>
  <c r="E92" i="1"/>
  <c r="D92" i="1"/>
  <c r="Q91" i="1"/>
  <c r="O91" i="1"/>
  <c r="M91" i="1"/>
  <c r="P91" i="1" s="1"/>
  <c r="K91" i="1"/>
  <c r="E91" i="1"/>
  <c r="D91" i="1"/>
  <c r="P90" i="1"/>
  <c r="O90" i="1"/>
  <c r="M90" i="1"/>
  <c r="Q90" i="1" s="1"/>
  <c r="K90" i="1"/>
  <c r="E90" i="1"/>
  <c r="D90" i="1"/>
  <c r="O89" i="1"/>
  <c r="K89" i="1"/>
  <c r="M89" i="1" s="1"/>
  <c r="E89" i="1"/>
  <c r="D89" i="1"/>
  <c r="O88" i="1"/>
  <c r="M88" i="1"/>
  <c r="Q88" i="1" s="1"/>
  <c r="K88" i="1"/>
  <c r="E88" i="1"/>
  <c r="D88" i="1"/>
  <c r="Q87" i="1"/>
  <c r="O87" i="1"/>
  <c r="M87" i="1"/>
  <c r="P87" i="1" s="1"/>
  <c r="K87" i="1"/>
  <c r="E87" i="1"/>
  <c r="D87" i="1"/>
  <c r="P86" i="1"/>
  <c r="O86" i="1"/>
  <c r="M86" i="1"/>
  <c r="Q86" i="1" s="1"/>
  <c r="K86" i="1"/>
  <c r="E86" i="1"/>
  <c r="D86" i="1"/>
  <c r="O85" i="1"/>
  <c r="K85" i="1"/>
  <c r="M85" i="1" s="1"/>
  <c r="E85" i="1"/>
  <c r="D85" i="1"/>
  <c r="O84" i="1"/>
  <c r="M84" i="1"/>
  <c r="Q84" i="1" s="1"/>
  <c r="K84" i="1"/>
  <c r="E84" i="1"/>
  <c r="D84" i="1"/>
  <c r="Q83" i="1"/>
  <c r="O83" i="1"/>
  <c r="M83" i="1"/>
  <c r="P83" i="1" s="1"/>
  <c r="K83" i="1"/>
  <c r="E83" i="1"/>
  <c r="D83" i="1"/>
  <c r="P82" i="1"/>
  <c r="O82" i="1"/>
  <c r="M82" i="1"/>
  <c r="Q82" i="1" s="1"/>
  <c r="K82" i="1"/>
  <c r="E82" i="1"/>
  <c r="D82" i="1"/>
  <c r="O81" i="1"/>
  <c r="K81" i="1"/>
  <c r="M81" i="1" s="1"/>
  <c r="E81" i="1"/>
  <c r="D81" i="1"/>
  <c r="O80" i="1"/>
  <c r="M80" i="1"/>
  <c r="Q80" i="1" s="1"/>
  <c r="K80" i="1"/>
  <c r="E80" i="1"/>
  <c r="D80" i="1"/>
  <c r="Q79" i="1"/>
  <c r="O79" i="1"/>
  <c r="M79" i="1"/>
  <c r="P79" i="1" s="1"/>
  <c r="K79" i="1"/>
  <c r="E79" i="1"/>
  <c r="D79" i="1"/>
  <c r="P78" i="1"/>
  <c r="O78" i="1"/>
  <c r="M78" i="1"/>
  <c r="Q78" i="1" s="1"/>
  <c r="K78" i="1"/>
  <c r="E78" i="1"/>
  <c r="D78" i="1"/>
  <c r="O77" i="1"/>
  <c r="K77" i="1"/>
  <c r="M77" i="1" s="1"/>
  <c r="E77" i="1"/>
  <c r="D77" i="1"/>
  <c r="O76" i="1"/>
  <c r="M76" i="1"/>
  <c r="Q76" i="1" s="1"/>
  <c r="K76" i="1"/>
  <c r="E76" i="1"/>
  <c r="D76" i="1"/>
  <c r="Q75" i="1"/>
  <c r="O75" i="1"/>
  <c r="M75" i="1"/>
  <c r="P75" i="1" s="1"/>
  <c r="K75" i="1"/>
  <c r="E75" i="1"/>
  <c r="D75" i="1"/>
  <c r="P74" i="1"/>
  <c r="O74" i="1"/>
  <c r="M74" i="1"/>
  <c r="Q74" i="1" s="1"/>
  <c r="K74" i="1"/>
  <c r="E74" i="1"/>
  <c r="D74" i="1"/>
  <c r="O73" i="1"/>
  <c r="K73" i="1"/>
  <c r="M73" i="1" s="1"/>
  <c r="E73" i="1"/>
  <c r="D73" i="1"/>
  <c r="O72" i="1"/>
  <c r="M72" i="1"/>
  <c r="Q72" i="1" s="1"/>
  <c r="K72" i="1"/>
  <c r="E72" i="1"/>
  <c r="D72" i="1"/>
  <c r="Q71" i="1"/>
  <c r="O71" i="1"/>
  <c r="M71" i="1"/>
  <c r="P71" i="1" s="1"/>
  <c r="K71" i="1"/>
  <c r="E71" i="1"/>
  <c r="D71" i="1"/>
  <c r="P70" i="1"/>
  <c r="O70" i="1"/>
  <c r="M70" i="1"/>
  <c r="Q70" i="1" s="1"/>
  <c r="K70" i="1"/>
  <c r="E70" i="1"/>
  <c r="D70" i="1"/>
  <c r="O69" i="1"/>
  <c r="K69" i="1"/>
  <c r="M69" i="1" s="1"/>
  <c r="E69" i="1"/>
  <c r="D69" i="1"/>
  <c r="O68" i="1"/>
  <c r="M68" i="1"/>
  <c r="Q68" i="1" s="1"/>
  <c r="K68" i="1"/>
  <c r="E68" i="1"/>
  <c r="D68" i="1"/>
  <c r="Q67" i="1"/>
  <c r="O67" i="1"/>
  <c r="M67" i="1"/>
  <c r="P67" i="1" s="1"/>
  <c r="K67" i="1"/>
  <c r="E67" i="1"/>
  <c r="D67" i="1"/>
  <c r="P66" i="1"/>
  <c r="O66" i="1"/>
  <c r="M66" i="1"/>
  <c r="Q66" i="1" s="1"/>
  <c r="K66" i="1"/>
  <c r="E66" i="1"/>
  <c r="D66" i="1"/>
  <c r="O65" i="1"/>
  <c r="K65" i="1"/>
  <c r="M65" i="1" s="1"/>
  <c r="E65" i="1"/>
  <c r="D65" i="1"/>
  <c r="O64" i="1"/>
  <c r="M64" i="1"/>
  <c r="Q64" i="1" s="1"/>
  <c r="K64" i="1"/>
  <c r="E64" i="1"/>
  <c r="D64" i="1"/>
  <c r="Q63" i="1"/>
  <c r="O63" i="1"/>
  <c r="K63" i="1"/>
  <c r="M63" i="1" s="1"/>
  <c r="P63" i="1" s="1"/>
  <c r="E63" i="1"/>
  <c r="D63" i="1"/>
  <c r="O62" i="1"/>
  <c r="P62" i="1" s="1"/>
  <c r="M62" i="1"/>
  <c r="Q62" i="1" s="1"/>
  <c r="K62" i="1"/>
  <c r="E62" i="1"/>
  <c r="D62" i="1"/>
  <c r="O61" i="1"/>
  <c r="K61" i="1"/>
  <c r="M61" i="1" s="1"/>
  <c r="E61" i="1"/>
  <c r="D61" i="1"/>
  <c r="O60" i="1"/>
  <c r="M60" i="1"/>
  <c r="Q60" i="1" s="1"/>
  <c r="K60" i="1"/>
  <c r="E60" i="1"/>
  <c r="D60" i="1"/>
  <c r="Q59" i="1"/>
  <c r="O59" i="1"/>
  <c r="K59" i="1"/>
  <c r="M59" i="1" s="1"/>
  <c r="P59" i="1" s="1"/>
  <c r="E59" i="1"/>
  <c r="D59" i="1"/>
  <c r="O58" i="1"/>
  <c r="P58" i="1" s="1"/>
  <c r="M58" i="1"/>
  <c r="Q58" i="1" s="1"/>
  <c r="K58" i="1"/>
  <c r="E58" i="1"/>
  <c r="D58" i="1"/>
  <c r="O57" i="1"/>
  <c r="K57" i="1"/>
  <c r="M57" i="1" s="1"/>
  <c r="F57" i="1"/>
  <c r="E57" i="1"/>
  <c r="D57" i="1"/>
  <c r="P56" i="1"/>
  <c r="O56" i="1"/>
  <c r="K56" i="1"/>
  <c r="M56" i="1" s="1"/>
  <c r="Q56" i="1" s="1"/>
  <c r="F56" i="1"/>
  <c r="E56" i="1"/>
  <c r="D56" i="1"/>
  <c r="P55" i="1"/>
  <c r="O55" i="1"/>
  <c r="M55" i="1"/>
  <c r="Q55" i="1" s="1"/>
  <c r="K55" i="1"/>
  <c r="F55" i="1"/>
  <c r="E55" i="1"/>
  <c r="D55" i="1"/>
  <c r="O54" i="1"/>
  <c r="M54" i="1"/>
  <c r="K54" i="1"/>
  <c r="F54" i="1"/>
  <c r="E54" i="1"/>
  <c r="D54" i="1"/>
  <c r="Q53" i="1"/>
  <c r="O53" i="1"/>
  <c r="K53" i="1"/>
  <c r="M53" i="1" s="1"/>
  <c r="P53" i="1" s="1"/>
  <c r="F53" i="1"/>
  <c r="E53" i="1"/>
  <c r="D53" i="1"/>
  <c r="Q52" i="1"/>
  <c r="P52" i="1"/>
  <c r="R52" i="1" s="1"/>
  <c r="O52" i="1"/>
  <c r="M52" i="1"/>
  <c r="K52" i="1"/>
  <c r="F52" i="1"/>
  <c r="E52" i="1"/>
  <c r="D52" i="1"/>
  <c r="O51" i="1"/>
  <c r="M51" i="1"/>
  <c r="Q51" i="1" s="1"/>
  <c r="K51" i="1"/>
  <c r="F51" i="1"/>
  <c r="E51" i="1"/>
  <c r="D51" i="1"/>
  <c r="O50" i="1"/>
  <c r="M50" i="1"/>
  <c r="Q50" i="1" s="1"/>
  <c r="K50" i="1"/>
  <c r="F50" i="1"/>
  <c r="E50" i="1"/>
  <c r="D50" i="1"/>
  <c r="O49" i="1"/>
  <c r="K49" i="1"/>
  <c r="M49" i="1" s="1"/>
  <c r="F49" i="1"/>
  <c r="E49" i="1"/>
  <c r="D49" i="1"/>
  <c r="O48" i="1"/>
  <c r="K48" i="1"/>
  <c r="M48" i="1" s="1"/>
  <c r="Q48" i="1" s="1"/>
  <c r="F48" i="1"/>
  <c r="E48" i="1"/>
  <c r="D48" i="1"/>
  <c r="P47" i="1"/>
  <c r="O47" i="1"/>
  <c r="M47" i="1"/>
  <c r="Q47" i="1" s="1"/>
  <c r="K47" i="1"/>
  <c r="F47" i="1"/>
  <c r="E47" i="1"/>
  <c r="D47" i="1"/>
  <c r="O46" i="1"/>
  <c r="M46" i="1"/>
  <c r="K46" i="1"/>
  <c r="F46" i="1"/>
  <c r="E46" i="1"/>
  <c r="D46" i="1"/>
  <c r="Q45" i="1"/>
  <c r="O45" i="1"/>
  <c r="M45" i="1"/>
  <c r="P45" i="1" s="1"/>
  <c r="K45" i="1"/>
  <c r="F45" i="1"/>
  <c r="E45" i="1"/>
  <c r="D45" i="1"/>
  <c r="Q44" i="1"/>
  <c r="P44" i="1"/>
  <c r="R44" i="1" s="1"/>
  <c r="O44" i="1"/>
  <c r="M44" i="1"/>
  <c r="K44" i="1"/>
  <c r="F44" i="1"/>
  <c r="E44" i="1"/>
  <c r="D44" i="1"/>
  <c r="O43" i="1"/>
  <c r="M43" i="1"/>
  <c r="Q43" i="1" s="1"/>
  <c r="K43" i="1"/>
  <c r="F43" i="1"/>
  <c r="E43" i="1"/>
  <c r="D43" i="1"/>
  <c r="O42" i="1"/>
  <c r="M42" i="1"/>
  <c r="Q42" i="1" s="1"/>
  <c r="K42" i="1"/>
  <c r="F42" i="1"/>
  <c r="E42" i="1"/>
  <c r="D42" i="1"/>
  <c r="O41" i="1"/>
  <c r="K41" i="1"/>
  <c r="M41" i="1" s="1"/>
  <c r="F41" i="1"/>
  <c r="E41" i="1"/>
  <c r="D41" i="1"/>
  <c r="P40" i="1"/>
  <c r="O40" i="1"/>
  <c r="K40" i="1"/>
  <c r="M40" i="1" s="1"/>
  <c r="Q40" i="1" s="1"/>
  <c r="F40" i="1"/>
  <c r="E40" i="1"/>
  <c r="D40" i="1"/>
  <c r="O39" i="1"/>
  <c r="P39" i="1" s="1"/>
  <c r="M39" i="1"/>
  <c r="Q39" i="1" s="1"/>
  <c r="K39" i="1"/>
  <c r="F39" i="1"/>
  <c r="E39" i="1"/>
  <c r="D39" i="1"/>
  <c r="O38" i="1"/>
  <c r="M38" i="1"/>
  <c r="K38" i="1"/>
  <c r="F38" i="1"/>
  <c r="E38" i="1"/>
  <c r="D38" i="1"/>
  <c r="O37" i="1"/>
  <c r="K37" i="1"/>
  <c r="M37" i="1" s="1"/>
  <c r="F37" i="1"/>
  <c r="E37" i="1"/>
  <c r="D37" i="1"/>
  <c r="Q36" i="1"/>
  <c r="T36" i="1" s="1"/>
  <c r="U36" i="1" s="1"/>
  <c r="P36" i="1"/>
  <c r="R36" i="1" s="1"/>
  <c r="O36" i="1"/>
  <c r="M36" i="1"/>
  <c r="K36" i="1"/>
  <c r="F36" i="1"/>
  <c r="E36" i="1"/>
  <c r="D36" i="1"/>
  <c r="O35" i="1"/>
  <c r="M35" i="1"/>
  <c r="Q35" i="1" s="1"/>
  <c r="K35" i="1"/>
  <c r="F35" i="1"/>
  <c r="E35" i="1"/>
  <c r="D35" i="1"/>
  <c r="O34" i="1"/>
  <c r="M34" i="1"/>
  <c r="K34" i="1"/>
  <c r="F34" i="1"/>
  <c r="E34" i="1"/>
  <c r="D34" i="1"/>
  <c r="Q33" i="1"/>
  <c r="O33" i="1"/>
  <c r="K33" i="1"/>
  <c r="M33" i="1" s="1"/>
  <c r="P33" i="1" s="1"/>
  <c r="R33" i="1" s="1"/>
  <c r="F33" i="1"/>
  <c r="E33" i="1"/>
  <c r="D33" i="1"/>
  <c r="P32" i="1"/>
  <c r="R32" i="1" s="1"/>
  <c r="O32" i="1"/>
  <c r="K32" i="1"/>
  <c r="M32" i="1" s="1"/>
  <c r="Q32" i="1" s="1"/>
  <c r="F32" i="1"/>
  <c r="E32" i="1"/>
  <c r="D32" i="1"/>
  <c r="O31" i="1"/>
  <c r="P31" i="1" s="1"/>
  <c r="M31" i="1"/>
  <c r="Q31" i="1" s="1"/>
  <c r="K31" i="1"/>
  <c r="F31" i="1"/>
  <c r="E31" i="1"/>
  <c r="D31" i="1"/>
  <c r="O30" i="1"/>
  <c r="M30" i="1"/>
  <c r="K30" i="1"/>
  <c r="F30" i="1"/>
  <c r="E30" i="1"/>
  <c r="D30" i="1"/>
  <c r="O29" i="1"/>
  <c r="K29" i="1"/>
  <c r="M29" i="1" s="1"/>
  <c r="F29" i="1"/>
  <c r="E29" i="1"/>
  <c r="D29" i="1"/>
  <c r="Q28" i="1"/>
  <c r="P28" i="1"/>
  <c r="R28" i="1" s="1"/>
  <c r="O28" i="1"/>
  <c r="M28" i="1"/>
  <c r="K28" i="1"/>
  <c r="F28" i="1"/>
  <c r="E28" i="1"/>
  <c r="D28" i="1"/>
  <c r="O27" i="1"/>
  <c r="M27" i="1"/>
  <c r="Q27" i="1" s="1"/>
  <c r="K27" i="1"/>
  <c r="F27" i="1"/>
  <c r="E27" i="1"/>
  <c r="D27" i="1"/>
  <c r="O26" i="1"/>
  <c r="M26" i="1"/>
  <c r="K26" i="1"/>
  <c r="F26" i="1"/>
  <c r="E26" i="1"/>
  <c r="D26" i="1"/>
  <c r="R25" i="1"/>
  <c r="O25" i="1"/>
  <c r="K25" i="1"/>
  <c r="M25" i="1" s="1"/>
  <c r="P25" i="1" s="1"/>
  <c r="F25" i="1"/>
  <c r="E25" i="1"/>
  <c r="D25" i="1"/>
  <c r="P24" i="1"/>
  <c r="R24" i="1" s="1"/>
  <c r="O24" i="1"/>
  <c r="K24" i="1"/>
  <c r="M24" i="1" s="1"/>
  <c r="Q24" i="1" s="1"/>
  <c r="F24" i="1"/>
  <c r="E24" i="1"/>
  <c r="D24" i="1"/>
  <c r="O23" i="1"/>
  <c r="P23" i="1" s="1"/>
  <c r="M23" i="1"/>
  <c r="Q23" i="1" s="1"/>
  <c r="K23" i="1"/>
  <c r="F23" i="1"/>
  <c r="E23" i="1"/>
  <c r="D23" i="1"/>
  <c r="R22" i="1"/>
  <c r="Q22" i="1"/>
  <c r="T22" i="1" s="1"/>
  <c r="O22" i="1"/>
  <c r="M22" i="1"/>
  <c r="P22" i="1" s="1"/>
  <c r="K22" i="1"/>
  <c r="F22" i="1"/>
  <c r="E22" i="1"/>
  <c r="D22" i="1"/>
  <c r="O21" i="1"/>
  <c r="K21" i="1"/>
  <c r="M21" i="1" s="1"/>
  <c r="F21" i="1"/>
  <c r="E21" i="1"/>
  <c r="D21" i="1"/>
  <c r="Q20" i="1"/>
  <c r="O20" i="1"/>
  <c r="P20" i="1" s="1"/>
  <c r="M20" i="1"/>
  <c r="K20" i="1"/>
  <c r="F20" i="1"/>
  <c r="E20" i="1"/>
  <c r="D20" i="1"/>
  <c r="O19" i="1"/>
  <c r="M19" i="1"/>
  <c r="K19" i="1"/>
  <c r="F19" i="1"/>
  <c r="E19" i="1"/>
  <c r="D19" i="1"/>
  <c r="O18" i="1"/>
  <c r="M18" i="1"/>
  <c r="P18" i="1" s="1"/>
  <c r="K18" i="1"/>
  <c r="F18" i="1"/>
  <c r="E18" i="1"/>
  <c r="D18" i="1"/>
  <c r="P17" i="1"/>
  <c r="O17" i="1"/>
  <c r="K17" i="1"/>
  <c r="M17" i="1" s="1"/>
  <c r="Q17" i="1" s="1"/>
  <c r="F17" i="1"/>
  <c r="E17" i="1"/>
  <c r="D17" i="1"/>
  <c r="P16" i="1"/>
  <c r="R16" i="1" s="1"/>
  <c r="O16" i="1"/>
  <c r="K16" i="1"/>
  <c r="M16" i="1" s="1"/>
  <c r="Q16" i="1" s="1"/>
  <c r="T16" i="1" s="1"/>
  <c r="F16" i="1"/>
  <c r="E16" i="1"/>
  <c r="D16" i="1"/>
  <c r="P15" i="1"/>
  <c r="R15" i="1" s="1"/>
  <c r="O15" i="1"/>
  <c r="M15" i="1"/>
  <c r="Q15" i="1" s="1"/>
  <c r="K15" i="1"/>
  <c r="F15" i="1"/>
  <c r="E15" i="1"/>
  <c r="D15" i="1"/>
  <c r="O14" i="1"/>
  <c r="K14" i="1"/>
  <c r="M14" i="1" s="1"/>
  <c r="F14" i="1"/>
  <c r="E14" i="1"/>
  <c r="D14" i="1"/>
  <c r="O13" i="1"/>
  <c r="M13" i="1"/>
  <c r="Q13" i="1" s="1"/>
  <c r="K13" i="1"/>
  <c r="F13" i="1"/>
  <c r="E13" i="1"/>
  <c r="D13" i="1"/>
  <c r="Q12" i="1"/>
  <c r="T12" i="1" s="1"/>
  <c r="P12" i="1"/>
  <c r="R12" i="1" s="1"/>
  <c r="O12" i="1"/>
  <c r="M12" i="1"/>
  <c r="K12" i="1"/>
  <c r="F12" i="1"/>
  <c r="E12" i="1"/>
  <c r="D12" i="1"/>
  <c r="O11" i="1"/>
  <c r="M11" i="1"/>
  <c r="K11" i="1"/>
  <c r="F11" i="1"/>
  <c r="E11" i="1"/>
  <c r="D11" i="1"/>
  <c r="T17" i="1" l="1"/>
  <c r="U17" i="1" s="1"/>
  <c r="R23" i="1"/>
  <c r="T23" i="1" s="1"/>
  <c r="U23" i="1" s="1"/>
  <c r="T31" i="1"/>
  <c r="U31" i="1" s="1"/>
  <c r="P21" i="1"/>
  <c r="Q21" i="1"/>
  <c r="R31" i="1"/>
  <c r="T15" i="1"/>
  <c r="R20" i="1"/>
  <c r="U20" i="1"/>
  <c r="P29" i="1"/>
  <c r="Q29" i="1"/>
  <c r="P14" i="1"/>
  <c r="Q14" i="1"/>
  <c r="P37" i="1"/>
  <c r="Q37" i="1"/>
  <c r="T58" i="1"/>
  <c r="U58" i="1" s="1"/>
  <c r="U24" i="1"/>
  <c r="P13" i="1"/>
  <c r="Q34" i="1"/>
  <c r="P34" i="1"/>
  <c r="R39" i="1"/>
  <c r="T39" i="1" s="1"/>
  <c r="U39" i="1" s="1"/>
  <c r="R59" i="1"/>
  <c r="T59" i="1" s="1"/>
  <c r="U59" i="1" s="1"/>
  <c r="R62" i="1"/>
  <c r="T62" i="1" s="1"/>
  <c r="U62" i="1" s="1"/>
  <c r="R71" i="1"/>
  <c r="Q77" i="1"/>
  <c r="P77" i="1"/>
  <c r="R87" i="1"/>
  <c r="T91" i="1"/>
  <c r="Q93" i="1"/>
  <c r="P93" i="1"/>
  <c r="U12" i="1"/>
  <c r="T32" i="1"/>
  <c r="T44" i="1"/>
  <c r="U44" i="1" s="1"/>
  <c r="Q49" i="1"/>
  <c r="P49" i="1"/>
  <c r="U74" i="1"/>
  <c r="U90" i="1"/>
  <c r="T102" i="1"/>
  <c r="U102" i="1" s="1"/>
  <c r="K104" i="1"/>
  <c r="I107" i="1" s="1"/>
  <c r="I109" i="1" s="1"/>
  <c r="Q19" i="1"/>
  <c r="P19" i="1"/>
  <c r="T87" i="1"/>
  <c r="U87" i="1" s="1"/>
  <c r="Q11" i="1"/>
  <c r="M104" i="1"/>
  <c r="N114" i="1" s="1"/>
  <c r="P11" i="1"/>
  <c r="Q41" i="1"/>
  <c r="P41" i="1"/>
  <c r="Q54" i="1"/>
  <c r="P54" i="1"/>
  <c r="U15" i="1"/>
  <c r="Q30" i="1"/>
  <c r="P30" i="1"/>
  <c r="R56" i="1"/>
  <c r="Q61" i="1"/>
  <c r="P61" i="1"/>
  <c r="R67" i="1"/>
  <c r="T67" i="1" s="1"/>
  <c r="U67" i="1" s="1"/>
  <c r="U99" i="1"/>
  <c r="R99" i="1"/>
  <c r="R17" i="1"/>
  <c r="Q18" i="1"/>
  <c r="T24" i="1"/>
  <c r="R53" i="1"/>
  <c r="T53" i="1" s="1"/>
  <c r="U53" i="1" s="1"/>
  <c r="R58" i="1"/>
  <c r="R63" i="1"/>
  <c r="T63" i="1" s="1"/>
  <c r="U63" i="1" s="1"/>
  <c r="Q69" i="1"/>
  <c r="P69" i="1"/>
  <c r="R79" i="1"/>
  <c r="Q85" i="1"/>
  <c r="P85" i="1"/>
  <c r="R95" i="1"/>
  <c r="T95" i="1" s="1"/>
  <c r="U95" i="1" s="1"/>
  <c r="T99" i="1"/>
  <c r="Q101" i="1"/>
  <c r="P101" i="1"/>
  <c r="T33" i="1"/>
  <c r="U33" i="1" s="1"/>
  <c r="T71" i="1"/>
  <c r="U71" i="1" s="1"/>
  <c r="Q73" i="1"/>
  <c r="P73" i="1"/>
  <c r="R83" i="1"/>
  <c r="T83" i="1" s="1"/>
  <c r="U83" i="1" s="1"/>
  <c r="Q89" i="1"/>
  <c r="P89" i="1"/>
  <c r="U25" i="1"/>
  <c r="Q26" i="1"/>
  <c r="P26" i="1"/>
  <c r="U55" i="1"/>
  <c r="O104" i="1"/>
  <c r="U16" i="1"/>
  <c r="U22" i="1"/>
  <c r="U32" i="1"/>
  <c r="R18" i="1"/>
  <c r="Q25" i="1"/>
  <c r="T25" i="1" s="1"/>
  <c r="T28" i="1"/>
  <c r="U28" i="1" s="1"/>
  <c r="P48" i="1"/>
  <c r="U98" i="1"/>
  <c r="T20" i="1"/>
  <c r="Q46" i="1"/>
  <c r="P46" i="1"/>
  <c r="U47" i="1"/>
  <c r="Q57" i="1"/>
  <c r="P57" i="1"/>
  <c r="Q65" i="1"/>
  <c r="P65" i="1"/>
  <c r="R75" i="1"/>
  <c r="T75" i="1" s="1"/>
  <c r="U75" i="1" s="1"/>
  <c r="T79" i="1"/>
  <c r="U79" i="1" s="1"/>
  <c r="Q81" i="1"/>
  <c r="P81" i="1"/>
  <c r="U91" i="1"/>
  <c r="R91" i="1"/>
  <c r="Q97" i="1"/>
  <c r="P97" i="1"/>
  <c r="Q38" i="1"/>
  <c r="P38" i="1"/>
  <c r="R40" i="1"/>
  <c r="T40" i="1" s="1"/>
  <c r="U40" i="1" s="1"/>
  <c r="R45" i="1"/>
  <c r="T45" i="1" s="1"/>
  <c r="U45" i="1" s="1"/>
  <c r="T52" i="1"/>
  <c r="U52" i="1" s="1"/>
  <c r="R103" i="1"/>
  <c r="T103" i="1" s="1"/>
  <c r="U103" i="1" s="1"/>
  <c r="T56" i="1"/>
  <c r="U56" i="1" s="1"/>
  <c r="P42" i="1"/>
  <c r="P50" i="1"/>
  <c r="R47" i="1"/>
  <c r="T47" i="1" s="1"/>
  <c r="R55" i="1"/>
  <c r="T55" i="1" s="1"/>
  <c r="R66" i="1"/>
  <c r="T66" i="1" s="1"/>
  <c r="U66" i="1" s="1"/>
  <c r="R70" i="1"/>
  <c r="T70" i="1" s="1"/>
  <c r="U70" i="1" s="1"/>
  <c r="R74" i="1"/>
  <c r="T74" i="1" s="1"/>
  <c r="R78" i="1"/>
  <c r="T78" i="1" s="1"/>
  <c r="U78" i="1" s="1"/>
  <c r="R82" i="1"/>
  <c r="T82" i="1" s="1"/>
  <c r="U82" i="1" s="1"/>
  <c r="R86" i="1"/>
  <c r="T86" i="1" s="1"/>
  <c r="U86" i="1" s="1"/>
  <c r="R90" i="1"/>
  <c r="T90" i="1" s="1"/>
  <c r="R94" i="1"/>
  <c r="T94" i="1" s="1"/>
  <c r="U94" i="1" s="1"/>
  <c r="R98" i="1"/>
  <c r="T98" i="1" s="1"/>
  <c r="R102" i="1"/>
  <c r="P27" i="1"/>
  <c r="P35" i="1"/>
  <c r="P43" i="1"/>
  <c r="P51" i="1"/>
  <c r="P60" i="1"/>
  <c r="P64" i="1"/>
  <c r="P68" i="1"/>
  <c r="P72" i="1"/>
  <c r="P76" i="1"/>
  <c r="P80" i="1"/>
  <c r="P84" i="1"/>
  <c r="P88" i="1"/>
  <c r="P92" i="1"/>
  <c r="P96" i="1"/>
  <c r="P100" i="1"/>
  <c r="U50" i="1" l="1"/>
  <c r="R50" i="1"/>
  <c r="T50" i="1" s="1"/>
  <c r="R97" i="1"/>
  <c r="P114" i="1"/>
  <c r="O114" i="1"/>
  <c r="Q114" i="1" s="1"/>
  <c r="R84" i="1"/>
  <c r="T84" i="1" s="1"/>
  <c r="U84" i="1" s="1"/>
  <c r="R43" i="1"/>
  <c r="T43" i="1" s="1"/>
  <c r="U43" i="1" s="1"/>
  <c r="U42" i="1"/>
  <c r="R42" i="1"/>
  <c r="T42" i="1" s="1"/>
  <c r="T97" i="1"/>
  <c r="U97" i="1" s="1"/>
  <c r="T57" i="1"/>
  <c r="R69" i="1"/>
  <c r="Q104" i="1"/>
  <c r="R77" i="1"/>
  <c r="T77" i="1" s="1"/>
  <c r="U77" i="1" s="1"/>
  <c r="R29" i="1"/>
  <c r="T29" i="1" s="1"/>
  <c r="U29" i="1" s="1"/>
  <c r="R21" i="1"/>
  <c r="T21" i="1" s="1"/>
  <c r="U21" i="1" s="1"/>
  <c r="R80" i="1"/>
  <c r="T80" i="1" s="1"/>
  <c r="U80" i="1" s="1"/>
  <c r="R35" i="1"/>
  <c r="T35" i="1" s="1"/>
  <c r="U35" i="1" s="1"/>
  <c r="R89" i="1"/>
  <c r="T69" i="1"/>
  <c r="U69" i="1" s="1"/>
  <c r="R76" i="1"/>
  <c r="T76" i="1" s="1"/>
  <c r="U76" i="1" s="1"/>
  <c r="R27" i="1"/>
  <c r="T27" i="1" s="1"/>
  <c r="U27" i="1" s="1"/>
  <c r="R48" i="1"/>
  <c r="T48" i="1" s="1"/>
  <c r="U48" i="1" s="1"/>
  <c r="T89" i="1"/>
  <c r="U89" i="1" s="1"/>
  <c r="R85" i="1"/>
  <c r="T18" i="1"/>
  <c r="U18" i="1" s="1"/>
  <c r="R61" i="1"/>
  <c r="T61" i="1" s="1"/>
  <c r="U61" i="1" s="1"/>
  <c r="R54" i="1"/>
  <c r="R19" i="1"/>
  <c r="T19" i="1" s="1"/>
  <c r="U19" i="1" s="1"/>
  <c r="R49" i="1"/>
  <c r="U93" i="1"/>
  <c r="R93" i="1"/>
  <c r="T54" i="1"/>
  <c r="U54" i="1" s="1"/>
  <c r="T49" i="1"/>
  <c r="U49" i="1" s="1"/>
  <c r="R100" i="1"/>
  <c r="T100" i="1" s="1"/>
  <c r="U100" i="1"/>
  <c r="R46" i="1"/>
  <c r="R96" i="1"/>
  <c r="T96" i="1" s="1"/>
  <c r="U96" i="1"/>
  <c r="U38" i="1"/>
  <c r="R38" i="1"/>
  <c r="R81" i="1"/>
  <c r="T46" i="1"/>
  <c r="U46" i="1" s="1"/>
  <c r="R26" i="1"/>
  <c r="T101" i="1"/>
  <c r="U101" i="1" s="1"/>
  <c r="T41" i="1"/>
  <c r="U41" i="1" s="1"/>
  <c r="R34" i="1"/>
  <c r="R88" i="1"/>
  <c r="T88" i="1" s="1"/>
  <c r="U88" i="1" s="1"/>
  <c r="R51" i="1"/>
  <c r="T51" i="1" s="1"/>
  <c r="U51" i="1"/>
  <c r="U57" i="1"/>
  <c r="R57" i="1"/>
  <c r="R13" i="1"/>
  <c r="T13" i="1" s="1"/>
  <c r="U13" i="1"/>
  <c r="R72" i="1"/>
  <c r="T72" i="1" s="1"/>
  <c r="U72" i="1"/>
  <c r="R65" i="1"/>
  <c r="T65" i="1" s="1"/>
  <c r="U65" i="1" s="1"/>
  <c r="T85" i="1"/>
  <c r="U85" i="1" s="1"/>
  <c r="T93" i="1"/>
  <c r="R37" i="1"/>
  <c r="T37" i="1" s="1"/>
  <c r="U37" i="1" s="1"/>
  <c r="R68" i="1"/>
  <c r="T68" i="1" s="1"/>
  <c r="U68" i="1" s="1"/>
  <c r="R101" i="1"/>
  <c r="R41" i="1"/>
  <c r="R64" i="1"/>
  <c r="T64" i="1" s="1"/>
  <c r="U64" i="1"/>
  <c r="R92" i="1"/>
  <c r="T92" i="1" s="1"/>
  <c r="U92" i="1" s="1"/>
  <c r="R60" i="1"/>
  <c r="T60" i="1" s="1"/>
  <c r="U60" i="1" s="1"/>
  <c r="T38" i="1"/>
  <c r="T81" i="1"/>
  <c r="U81" i="1" s="1"/>
  <c r="T26" i="1"/>
  <c r="U26" i="1" s="1"/>
  <c r="R73" i="1"/>
  <c r="T73" i="1" s="1"/>
  <c r="U73" i="1" s="1"/>
  <c r="R30" i="1"/>
  <c r="T30" i="1" s="1"/>
  <c r="U30" i="1" s="1"/>
  <c r="P104" i="1"/>
  <c r="N110" i="1" s="1"/>
  <c r="P110" i="1" s="1"/>
  <c r="R11" i="1"/>
  <c r="T34" i="1"/>
  <c r="U34" i="1" s="1"/>
  <c r="R14" i="1"/>
  <c r="T14" i="1" s="1"/>
  <c r="U14" i="1" s="1"/>
  <c r="R104" i="1" l="1"/>
  <c r="O110" i="1" s="1"/>
  <c r="Q110" i="1" s="1"/>
  <c r="T11" i="1"/>
  <c r="T104" i="1" l="1"/>
  <c r="U11" i="1"/>
  <c r="U104" i="1" s="1"/>
</calcChain>
</file>

<file path=xl/sharedStrings.xml><?xml version="1.0" encoding="utf-8"?>
<sst xmlns="http://schemas.openxmlformats.org/spreadsheetml/2006/main" count="231" uniqueCount="130">
  <si>
    <t>Register of Wages</t>
  </si>
  <si>
    <t>FORM XVII  [See Rule 78 (2)(a)]</t>
  </si>
  <si>
    <t xml:space="preserve">Name and Address of Contractor:  </t>
  </si>
  <si>
    <t>Sorye Contruction</t>
  </si>
  <si>
    <t xml:space="preserve">Nature and Location of Work:      </t>
  </si>
  <si>
    <t>Gordhanpur Road , Laksar, Haridwar</t>
  </si>
  <si>
    <t>Name and Address of Principal Employer:</t>
  </si>
  <si>
    <t>JK Tyre &amp; Industries Limited</t>
  </si>
  <si>
    <t>Name and Address of Establshment in/ under which Contract is Carried on:</t>
  </si>
  <si>
    <t>JK Tyre &amp; INDUSTRIES LIMITED
LAKSAR, HARIDWAR, UTTRAKHAND</t>
  </si>
  <si>
    <t xml:space="preserve">Wages Month </t>
  </si>
  <si>
    <t>Sl.No.</t>
  </si>
  <si>
    <t>Serial No. in the Register of workmen employed by contractor.</t>
  </si>
  <si>
    <t>Name and Surname of Workmen</t>
  </si>
  <si>
    <t>Father's/ husband's name</t>
  </si>
  <si>
    <t>Designation/ nature of work done</t>
  </si>
  <si>
    <t xml:space="preserve">Daily attendances/units of worked </t>
  </si>
  <si>
    <t>Daily rate of wages / piece rate</t>
  </si>
  <si>
    <t>Amount of wages earned</t>
  </si>
  <si>
    <t>Total</t>
  </si>
  <si>
    <t>Deduction</t>
  </si>
  <si>
    <t>Total Deduction</t>
  </si>
  <si>
    <t>Net amount paid</t>
  </si>
  <si>
    <t>Time and date of payment</t>
  </si>
  <si>
    <t>Initial of contractor or his representative</t>
  </si>
  <si>
    <t>UAN</t>
  </si>
  <si>
    <t>ESIC</t>
  </si>
  <si>
    <t>Gate Pass Ded.</t>
  </si>
  <si>
    <t>PAID HOLIDAY</t>
  </si>
  <si>
    <t>TOTAL WORKING DAYS</t>
  </si>
  <si>
    <t>Basic Wages</t>
  </si>
  <si>
    <t>Over Time</t>
  </si>
  <si>
    <t>PF</t>
  </si>
  <si>
    <t>ESI</t>
  </si>
  <si>
    <t>Canteen</t>
  </si>
  <si>
    <t>SOHANVEER</t>
  </si>
  <si>
    <t>HELPER</t>
  </si>
  <si>
    <t>FURKAN</t>
  </si>
  <si>
    <t>SOMIT KUMAR</t>
  </si>
  <si>
    <t>PAHAL SINGH</t>
  </si>
  <si>
    <t>RAVINDRA</t>
  </si>
  <si>
    <t>ASLAM KHAN</t>
  </si>
  <si>
    <t>SURJEET</t>
  </si>
  <si>
    <t>AJAY KUMAR</t>
  </si>
  <si>
    <t>HEERALAL</t>
  </si>
  <si>
    <t>MONU KUMAR</t>
  </si>
  <si>
    <t>NITESH KUMAR</t>
  </si>
  <si>
    <t>KAUSHINDRA</t>
  </si>
  <si>
    <t>H.SKILLED</t>
  </si>
  <si>
    <t>SANDEEP</t>
  </si>
  <si>
    <t>RAVI KUMAR</t>
  </si>
  <si>
    <t>GOVIND</t>
  </si>
  <si>
    <t>NEERAJ KUMAR</t>
  </si>
  <si>
    <t>MADAN SINGH</t>
  </si>
  <si>
    <t>BABLU</t>
  </si>
  <si>
    <t>MUKESH</t>
  </si>
  <si>
    <t>AKSHAY KUMAR</t>
  </si>
  <si>
    <t>MONU</t>
  </si>
  <si>
    <t>ANUJ</t>
  </si>
  <si>
    <t>ANKIT</t>
  </si>
  <si>
    <t>VIRENDRA</t>
  </si>
  <si>
    <t>ANKIT NAUTIYAL</t>
  </si>
  <si>
    <t>SACHIN KUMAR</t>
  </si>
  <si>
    <t>HARUN</t>
  </si>
  <si>
    <t>ASS.MOHOMMED</t>
  </si>
  <si>
    <t>RAJENDRA KUMAR</t>
  </si>
  <si>
    <t>MUNNA</t>
  </si>
  <si>
    <t>SONU KUMAR</t>
  </si>
  <si>
    <t>SHERKHAN</t>
  </si>
  <si>
    <t>DANISH</t>
  </si>
  <si>
    <t>SAKIR ALI</t>
  </si>
  <si>
    <t>AASKAR</t>
  </si>
  <si>
    <t>AKASH</t>
  </si>
  <si>
    <t>SUMIT KUMAR</t>
  </si>
  <si>
    <t>ASHISH KUMAR</t>
  </si>
  <si>
    <t>BINTU</t>
  </si>
  <si>
    <t>SAGAR KASHYAP</t>
  </si>
  <si>
    <t>ABHISHEK</t>
  </si>
  <si>
    <t>SHAHAVAN</t>
  </si>
  <si>
    <t>VISHAL</t>
  </si>
  <si>
    <t>YASHPAL</t>
  </si>
  <si>
    <t>MOHAMMAD AHASAN</t>
  </si>
  <si>
    <t>SACHIN</t>
  </si>
  <si>
    <t>HUKUM SINGH</t>
  </si>
  <si>
    <t>HIMANSHU</t>
  </si>
  <si>
    <t>KULDEEP</t>
  </si>
  <si>
    <t>DEVENDRA KUMAR</t>
  </si>
  <si>
    <t>JAGENDRA</t>
  </si>
  <si>
    <t>AMIT KUMAR</t>
  </si>
  <si>
    <t>JOGENDRA KUMAR</t>
  </si>
  <si>
    <t>SHEKHAR</t>
  </si>
  <si>
    <t>ANKIT KUMAR</t>
  </si>
  <si>
    <t>KHILENDRA</t>
  </si>
  <si>
    <t>ROHIT</t>
  </si>
  <si>
    <t>GAURAV</t>
  </si>
  <si>
    <t>BHAWAN SINGH</t>
  </si>
  <si>
    <t>AJAY</t>
  </si>
  <si>
    <t>NAUSHAD</t>
  </si>
  <si>
    <t>RAKIB</t>
  </si>
  <si>
    <t>VISHAL KUMAR</t>
  </si>
  <si>
    <t>RAVI</t>
  </si>
  <si>
    <t>UJAYFA</t>
  </si>
  <si>
    <t>SAURABH</t>
  </si>
  <si>
    <t>DEEPAK</t>
  </si>
  <si>
    <t>ADESH</t>
  </si>
  <si>
    <t>VIMAL</t>
  </si>
  <si>
    <t>NARENDER SINGH</t>
  </si>
  <si>
    <t>ABHISHEK KUMAR</t>
  </si>
  <si>
    <t>PARSHANT</t>
  </si>
  <si>
    <t>FIDDA HUSSAIN</t>
  </si>
  <si>
    <t>SANJU</t>
  </si>
  <si>
    <t>ROHIT KUMAR</t>
  </si>
  <si>
    <t>BHOPINDRA</t>
  </si>
  <si>
    <t>VASEEM</t>
  </si>
  <si>
    <t>BRIJESH</t>
  </si>
  <si>
    <t>RAJAN</t>
  </si>
  <si>
    <t>NITIN KUMAR</t>
  </si>
  <si>
    <t>AASHIPH</t>
  </si>
  <si>
    <t>JAVED</t>
  </si>
  <si>
    <t>NITU SINGH</t>
  </si>
  <si>
    <t>AIJAJ</t>
  </si>
  <si>
    <t>VIKKI</t>
  </si>
  <si>
    <t>SHOYAB ALI</t>
  </si>
  <si>
    <t>Paid Days</t>
  </si>
  <si>
    <t>OT Days</t>
  </si>
  <si>
    <t>Total Days</t>
  </si>
  <si>
    <t>WAGE</t>
  </si>
  <si>
    <t>Total 4%</t>
  </si>
  <si>
    <t>EPF</t>
  </si>
  <si>
    <t>Total 25 %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</si>
</sst>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0"/>
      <name val="Arial"/>
    </font>
    <font>
      <sz val="10"/>
      <name val="Arial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sz val="10"/>
      <name val="Arial"/>
      <family val="2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9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5" xfId="0" applyFont="1" applyBorder="1"/>
    <xf numFmtId="0" fontId="4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5" fillId="0" borderId="0" xfId="0" applyFont="1"/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14" fontId="5" fillId="0" borderId="0" xfId="0" applyNumberFormat="1" applyFont="1" applyAlignment="1">
      <alignment horizontal="center" vertical="center" wrapText="1"/>
    </xf>
    <xf numFmtId="0" fontId="4" fillId="0" borderId="5" xfId="0" applyFont="1" applyBorder="1"/>
    <xf numFmtId="0" fontId="4" fillId="0" borderId="0" xfId="0" applyFont="1" applyAlignment="1">
      <alignment horizontal="left"/>
    </xf>
    <xf numFmtId="17" fontId="7" fillId="0" borderId="0" xfId="0" applyNumberFormat="1" applyFont="1" applyAlignment="1">
      <alignment horizontal="left"/>
    </xf>
    <xf numFmtId="16" fontId="5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6" xfId="0" applyFont="1" applyBorder="1"/>
    <xf numFmtId="0" fontId="6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textRotation="90"/>
    </xf>
    <xf numFmtId="0" fontId="6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1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4" fillId="0" borderId="11" xfId="0" applyFont="1" applyBorder="1" applyAlignment="1">
      <alignment horizontal="left" vertical="center"/>
    </xf>
    <xf numFmtId="1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1" xfId="2" quotePrefix="1" applyFont="1" applyBorder="1" applyAlignment="1">
      <alignment horizontal="left" vertical="center" shrinkToFit="1"/>
    </xf>
    <xf numFmtId="1" fontId="4" fillId="0" borderId="11" xfId="0" applyNumberFormat="1" applyFont="1" applyBorder="1" applyAlignment="1">
      <alignment horizontal="center" vertical="center"/>
    </xf>
    <xf numFmtId="43" fontId="4" fillId="0" borderId="11" xfId="1" applyFont="1" applyFill="1" applyBorder="1" applyAlignment="1">
      <alignment horizontal="center"/>
    </xf>
    <xf numFmtId="1" fontId="4" fillId="0" borderId="11" xfId="2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1" fontId="9" fillId="0" borderId="16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0" fontId="10" fillId="0" borderId="11" xfId="0" applyNumberFormat="1" applyFont="1" applyBorder="1" applyAlignment="1">
      <alignment horizontal="center" vertical="center"/>
    </xf>
    <xf numFmtId="10" fontId="11" fillId="0" borderId="1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2" fillId="2" borderId="19" xfId="0" applyFont="1" applyFill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1" fontId="11" fillId="2" borderId="11" xfId="0" applyNumberFormat="1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9" fontId="10" fillId="0" borderId="11" xfId="0" applyNumberFormat="1" applyFont="1" applyBorder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</cellXfs>
  <cellStyles count="3">
    <cellStyle name="Comma" xfId="1" builtinId="3"/>
    <cellStyle name="Normal" xfId="0" builtinId="0"/>
    <cellStyle name="Normal 2" xfId="2" xr:uid="{648155CA-3916-40A2-8AA6-3CC7FCEA3597}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15.%20Sorya%20Wages%20Sheet%20Dec%2025.xls" TargetMode="External"/><Relationship Id="rId1" Type="http://schemas.openxmlformats.org/officeDocument/2006/relationships/externalLinkPath" Target="/Users/Dell/Downloads/15.%20Sorya%20Wages%20Sheet%20Dec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 XIII"/>
      <sheetName val="Form XIV Emp card"/>
      <sheetName val=" Form XVI"/>
      <sheetName val=" Wages Sheet FORM XVII"/>
      <sheetName val="form XIX wage slip"/>
      <sheetName val="FORM XX"/>
      <sheetName val="Form XXI"/>
      <sheetName val="Form XXII"/>
      <sheetName val=" Over Time FORM XXIII"/>
    </sheetNames>
    <sheetDataSet>
      <sheetData sheetId="0">
        <row r="6">
          <cell r="F6" t="str">
            <v>SORYE CONTRUCTION</v>
          </cell>
        </row>
        <row r="7">
          <cell r="F7" t="str">
            <v>CIVIL WORK, LAKSAR, HARIDWAR</v>
          </cell>
        </row>
        <row r="8">
          <cell r="F8" t="str">
            <v>JK TYRE &amp; INDUSTRIES LIMITED</v>
          </cell>
        </row>
        <row r="12">
          <cell r="D12" t="str">
            <v xml:space="preserve">Emp. Code </v>
          </cell>
          <cell r="E12" t="str">
            <v>Name and Surname of Workmen</v>
          </cell>
          <cell r="F12" t="str">
            <v>Age and Sex</v>
          </cell>
          <cell r="G12" t="str">
            <v>Father's/ Husband's Name</v>
          </cell>
        </row>
        <row r="13">
          <cell r="D13">
            <v>2</v>
          </cell>
          <cell r="E13">
            <v>3</v>
          </cell>
          <cell r="G13">
            <v>5</v>
          </cell>
        </row>
        <row r="14">
          <cell r="D14">
            <v>72222011</v>
          </cell>
          <cell r="E14" t="str">
            <v>SOHANVEER</v>
          </cell>
          <cell r="F14" t="str">
            <v>Male</v>
          </cell>
          <cell r="G14" t="str">
            <v>ASHARAM</v>
          </cell>
          <cell r="H14" t="str">
            <v/>
          </cell>
          <cell r="I14" t="str">
            <v>6111169980</v>
          </cell>
        </row>
        <row r="15">
          <cell r="D15">
            <v>72222024</v>
          </cell>
          <cell r="E15" t="str">
            <v>FURKAN</v>
          </cell>
          <cell r="F15" t="str">
            <v>Male</v>
          </cell>
          <cell r="G15" t="str">
            <v>MEERU</v>
          </cell>
          <cell r="H15" t="str">
            <v>101207391229</v>
          </cell>
          <cell r="I15" t="str">
            <v>6111159970</v>
          </cell>
        </row>
        <row r="16">
          <cell r="D16">
            <v>72222032</v>
          </cell>
          <cell r="E16" t="str">
            <v>SOMIT KUMAR</v>
          </cell>
          <cell r="F16" t="str">
            <v>Male</v>
          </cell>
          <cell r="G16" t="str">
            <v>KALU RAM</v>
          </cell>
          <cell r="H16" t="str">
            <v/>
          </cell>
          <cell r="I16" t="str">
            <v/>
          </cell>
        </row>
        <row r="17">
          <cell r="D17">
            <v>72222118</v>
          </cell>
          <cell r="E17" t="str">
            <v>PAHAL SINGH</v>
          </cell>
          <cell r="F17" t="str">
            <v>Male</v>
          </cell>
          <cell r="G17" t="str">
            <v>SHUKHPAL</v>
          </cell>
          <cell r="H17" t="str">
            <v>101201585061</v>
          </cell>
          <cell r="I17" t="str">
            <v>61122713540</v>
          </cell>
        </row>
        <row r="18">
          <cell r="D18">
            <v>72232186</v>
          </cell>
          <cell r="E18" t="str">
            <v>RAVINDRA</v>
          </cell>
          <cell r="F18" t="str">
            <v>Male</v>
          </cell>
          <cell r="G18" t="str">
            <v>AJAY PAL</v>
          </cell>
          <cell r="H18" t="str">
            <v/>
          </cell>
          <cell r="I18" t="str">
            <v>6113084733</v>
          </cell>
        </row>
        <row r="19">
          <cell r="D19">
            <v>72232120</v>
          </cell>
          <cell r="E19" t="str">
            <v>ASLAM KHAN</v>
          </cell>
          <cell r="F19" t="str">
            <v>Male</v>
          </cell>
          <cell r="G19" t="str">
            <v>MOBARIK</v>
          </cell>
          <cell r="H19" t="str">
            <v>101414866705</v>
          </cell>
          <cell r="I19" t="str">
            <v>61124587250</v>
          </cell>
        </row>
        <row r="20">
          <cell r="D20">
            <v>72232124</v>
          </cell>
          <cell r="E20" t="str">
            <v>SURJEET</v>
          </cell>
          <cell r="F20" t="str">
            <v>Male</v>
          </cell>
          <cell r="G20" t="str">
            <v>AMAR SINGH</v>
          </cell>
          <cell r="H20" t="str">
            <v>101402663975</v>
          </cell>
          <cell r="I20" t="str">
            <v>6111756705</v>
          </cell>
        </row>
        <row r="21">
          <cell r="D21">
            <v>72232127</v>
          </cell>
          <cell r="E21" t="str">
            <v>AJAY KUMAR</v>
          </cell>
          <cell r="F21" t="str">
            <v>Male</v>
          </cell>
          <cell r="G21" t="str">
            <v>ANIL KUMAR</v>
          </cell>
          <cell r="H21" t="str">
            <v>101593191256</v>
          </cell>
          <cell r="I21" t="str">
            <v>6112618101</v>
          </cell>
        </row>
        <row r="22">
          <cell r="D22">
            <v>72232131</v>
          </cell>
          <cell r="E22" t="str">
            <v>HEERALAL</v>
          </cell>
          <cell r="F22" t="str">
            <v>Male</v>
          </cell>
          <cell r="G22" t="str">
            <v>SUKHPAL SINGH</v>
          </cell>
          <cell r="H22" t="str">
            <v>101653171237</v>
          </cell>
          <cell r="I22" t="str">
            <v>6112641019</v>
          </cell>
        </row>
        <row r="23">
          <cell r="D23">
            <v>72232159</v>
          </cell>
          <cell r="E23" t="str">
            <v>MONU KUMAR</v>
          </cell>
          <cell r="F23" t="str">
            <v>Male</v>
          </cell>
          <cell r="G23" t="str">
            <v>PITAM SINGH</v>
          </cell>
          <cell r="H23" t="str">
            <v>101207390772</v>
          </cell>
          <cell r="I23" t="str">
            <v>6111160003</v>
          </cell>
        </row>
        <row r="24">
          <cell r="D24">
            <v>72232160</v>
          </cell>
          <cell r="E24" t="str">
            <v>NITESH KUMAR</v>
          </cell>
          <cell r="F24" t="str">
            <v>Male</v>
          </cell>
          <cell r="G24" t="str">
            <v>TELLU RAM</v>
          </cell>
          <cell r="H24" t="str">
            <v>100488919985</v>
          </cell>
          <cell r="I24" t="str">
            <v>6110244363</v>
          </cell>
        </row>
        <row r="25">
          <cell r="D25">
            <v>72232163</v>
          </cell>
          <cell r="E25" t="str">
            <v>KAUSHINDRA</v>
          </cell>
          <cell r="F25" t="str">
            <v>Male</v>
          </cell>
          <cell r="G25" t="str">
            <v>ISHAM SINGH</v>
          </cell>
          <cell r="H25" t="str">
            <v>101267347538</v>
          </cell>
          <cell r="I25" t="str">
            <v>6111848626</v>
          </cell>
        </row>
        <row r="26">
          <cell r="D26">
            <v>72232164</v>
          </cell>
          <cell r="E26" t="str">
            <v>SANDEEP</v>
          </cell>
          <cell r="F26" t="str">
            <v>Male</v>
          </cell>
          <cell r="G26" t="str">
            <v>RISHIPAL</v>
          </cell>
          <cell r="H26" t="str">
            <v>101277452773</v>
          </cell>
          <cell r="I26" t="str">
            <v>6111353057</v>
          </cell>
        </row>
        <row r="27">
          <cell r="D27">
            <v>72232165</v>
          </cell>
          <cell r="E27" t="str">
            <v>RAVI KUMAR</v>
          </cell>
          <cell r="F27" t="str">
            <v>Male</v>
          </cell>
          <cell r="G27" t="str">
            <v>GOPAL SINGH</v>
          </cell>
          <cell r="H27" t="str">
            <v>101207391238</v>
          </cell>
          <cell r="I27" t="str">
            <v>6111159974</v>
          </cell>
        </row>
        <row r="28">
          <cell r="D28">
            <v>72232166</v>
          </cell>
          <cell r="E28" t="str">
            <v>GOVIND</v>
          </cell>
          <cell r="F28" t="str">
            <v>Male</v>
          </cell>
          <cell r="G28" t="str">
            <v>PAWAN</v>
          </cell>
          <cell r="H28" t="str">
            <v>101163823055</v>
          </cell>
          <cell r="I28" t="str">
            <v>6113162970</v>
          </cell>
        </row>
        <row r="29">
          <cell r="D29">
            <v>72232167</v>
          </cell>
          <cell r="E29" t="str">
            <v>NEERAJ KUMAR</v>
          </cell>
          <cell r="F29" t="str">
            <v>Male</v>
          </cell>
          <cell r="G29" t="str">
            <v>SORAN SINGH</v>
          </cell>
          <cell r="H29" t="str">
            <v>101795807783</v>
          </cell>
          <cell r="I29" t="str">
            <v>6113120324</v>
          </cell>
        </row>
        <row r="30">
          <cell r="D30">
            <v>72232174</v>
          </cell>
          <cell r="E30" t="str">
            <v>MADAN SINGH</v>
          </cell>
          <cell r="F30" t="str">
            <v>Male</v>
          </cell>
          <cell r="G30" t="str">
            <v>CHATAR SINGH</v>
          </cell>
          <cell r="H30" t="str">
            <v>101277452760</v>
          </cell>
          <cell r="I30" t="str">
            <v>6111353053</v>
          </cell>
        </row>
        <row r="31">
          <cell r="D31">
            <v>72232208</v>
          </cell>
          <cell r="E31" t="str">
            <v>BABLU</v>
          </cell>
          <cell r="F31" t="str">
            <v>Male</v>
          </cell>
          <cell r="G31" t="str">
            <v>RAJPAL</v>
          </cell>
          <cell r="H31" t="str">
            <v>101358281149</v>
          </cell>
          <cell r="I31" t="str">
            <v>6113708172</v>
          </cell>
        </row>
        <row r="32">
          <cell r="D32">
            <v>72232177</v>
          </cell>
          <cell r="E32" t="str">
            <v>MUKESH</v>
          </cell>
          <cell r="F32" t="str">
            <v>Male</v>
          </cell>
          <cell r="G32" t="str">
            <v>MAMCHAND</v>
          </cell>
          <cell r="H32" t="str">
            <v>101092821026</v>
          </cell>
          <cell r="I32" t="str">
            <v>6110263804</v>
          </cell>
        </row>
        <row r="33">
          <cell r="D33">
            <v>72232178</v>
          </cell>
          <cell r="E33" t="str">
            <v>AKSHAY KUMAR</v>
          </cell>
          <cell r="F33" t="str">
            <v>Male</v>
          </cell>
          <cell r="G33" t="str">
            <v>SATPAL</v>
          </cell>
          <cell r="H33" t="str">
            <v>101402664613</v>
          </cell>
          <cell r="I33" t="str">
            <v>6111465832</v>
          </cell>
        </row>
        <row r="34">
          <cell r="D34">
            <v>72232179</v>
          </cell>
          <cell r="E34" t="str">
            <v>MONU</v>
          </cell>
          <cell r="F34" t="str">
            <v>Male</v>
          </cell>
          <cell r="G34" t="str">
            <v>MAHIPAL SINGH</v>
          </cell>
          <cell r="H34" t="str">
            <v>101207391199</v>
          </cell>
          <cell r="I34" t="str">
            <v>6111159991</v>
          </cell>
        </row>
        <row r="35">
          <cell r="D35">
            <v>72232180</v>
          </cell>
          <cell r="E35" t="str">
            <v>ANUJ</v>
          </cell>
          <cell r="F35" t="str">
            <v>Male</v>
          </cell>
          <cell r="G35" t="str">
            <v>SHYAM KUMAR</v>
          </cell>
          <cell r="H35" t="str">
            <v>101071404816</v>
          </cell>
          <cell r="I35" t="str">
            <v>6113618997</v>
          </cell>
        </row>
        <row r="36">
          <cell r="D36">
            <v>72232182</v>
          </cell>
          <cell r="E36" t="str">
            <v>ANKIT</v>
          </cell>
          <cell r="F36" t="str">
            <v>Male</v>
          </cell>
          <cell r="G36" t="str">
            <v>TELLURAM</v>
          </cell>
          <cell r="H36" t="str">
            <v>101807329476</v>
          </cell>
          <cell r="I36" t="str">
            <v>6113162971</v>
          </cell>
        </row>
        <row r="37">
          <cell r="D37">
            <v>72232190</v>
          </cell>
          <cell r="E37" t="str">
            <v>VIRENDRA</v>
          </cell>
          <cell r="F37" t="str">
            <v>Male</v>
          </cell>
          <cell r="G37" t="str">
            <v>CHAMAN SINGH</v>
          </cell>
          <cell r="H37" t="str">
            <v>101161379604</v>
          </cell>
          <cell r="I37" t="str">
            <v>6113663808</v>
          </cell>
        </row>
        <row r="38">
          <cell r="D38">
            <v>72232192</v>
          </cell>
          <cell r="E38" t="str">
            <v>ANKIT NAUTIYAL</v>
          </cell>
          <cell r="F38" t="str">
            <v>Male</v>
          </cell>
          <cell r="G38" t="str">
            <v>NARESH</v>
          </cell>
          <cell r="H38" t="str">
            <v>101402663952</v>
          </cell>
          <cell r="I38" t="str">
            <v>6112670923</v>
          </cell>
        </row>
        <row r="39">
          <cell r="D39">
            <v>72232195</v>
          </cell>
          <cell r="E39" t="str">
            <v>SACHIN KUMAR</v>
          </cell>
          <cell r="F39" t="str">
            <v>Male</v>
          </cell>
          <cell r="G39" t="str">
            <v>SURAT SINGH</v>
          </cell>
          <cell r="H39" t="str">
            <v>101574932657</v>
          </cell>
          <cell r="I39" t="str">
            <v>6113400574</v>
          </cell>
        </row>
        <row r="40">
          <cell r="D40">
            <v>72232196</v>
          </cell>
          <cell r="E40" t="str">
            <v>ANKIT</v>
          </cell>
          <cell r="F40" t="str">
            <v>Male</v>
          </cell>
          <cell r="G40" t="str">
            <v>JOGINDRA</v>
          </cell>
          <cell r="H40" t="str">
            <v>101380515210</v>
          </cell>
          <cell r="I40" t="str">
            <v>6113104072</v>
          </cell>
        </row>
        <row r="41">
          <cell r="D41">
            <v>99122390</v>
          </cell>
          <cell r="E41" t="str">
            <v>HARUN</v>
          </cell>
          <cell r="F41" t="str">
            <v>Male</v>
          </cell>
          <cell r="G41" t="str">
            <v>RIYASAT</v>
          </cell>
          <cell r="H41" t="str">
            <v>101623418038</v>
          </cell>
          <cell r="I41" t="str">
            <v>6113837571</v>
          </cell>
        </row>
        <row r="42">
          <cell r="D42">
            <v>99122481</v>
          </cell>
          <cell r="E42" t="str">
            <v>ASS.MOHOMMED</v>
          </cell>
          <cell r="F42" t="str">
            <v>Male</v>
          </cell>
          <cell r="G42" t="str">
            <v>KALLU</v>
          </cell>
          <cell r="H42" t="str">
            <v>101250819007</v>
          </cell>
          <cell r="I42" t="str">
            <v>6111649567</v>
          </cell>
        </row>
        <row r="43">
          <cell r="D43">
            <v>99122482</v>
          </cell>
          <cell r="E43" t="str">
            <v>RAJENDRA KUMAR</v>
          </cell>
          <cell r="F43" t="str">
            <v>Male</v>
          </cell>
          <cell r="G43" t="str">
            <v>NETRPAL SINGH</v>
          </cell>
          <cell r="H43" t="str">
            <v>101972448634</v>
          </cell>
          <cell r="I43" t="str">
            <v>6113759038</v>
          </cell>
        </row>
        <row r="44">
          <cell r="D44">
            <v>99122483</v>
          </cell>
          <cell r="E44" t="str">
            <v>MUNNA</v>
          </cell>
          <cell r="F44" t="str">
            <v>Male</v>
          </cell>
          <cell r="G44" t="str">
            <v>BUDHHU</v>
          </cell>
          <cell r="H44" t="str">
            <v>101235076797</v>
          </cell>
          <cell r="I44" t="str">
            <v>6111756723</v>
          </cell>
        </row>
        <row r="45">
          <cell r="D45">
            <v>99132036</v>
          </cell>
          <cell r="E45" t="str">
            <v>SONU KUMAR</v>
          </cell>
          <cell r="F45" t="str">
            <v>Male</v>
          </cell>
          <cell r="G45" t="str">
            <v>KALURAM</v>
          </cell>
          <cell r="H45" t="str">
            <v>101845492274</v>
          </cell>
          <cell r="I45" t="str">
            <v>6112963453</v>
          </cell>
        </row>
        <row r="46">
          <cell r="D46">
            <v>99132326</v>
          </cell>
          <cell r="E46" t="str">
            <v>SHERKHAN</v>
          </cell>
          <cell r="F46" t="str">
            <v>Male</v>
          </cell>
          <cell r="G46" t="str">
            <v>JAHANGEER</v>
          </cell>
          <cell r="H46" t="str">
            <v>101611317313</v>
          </cell>
          <cell r="I46" t="str">
            <v>6112478377</v>
          </cell>
        </row>
        <row r="47">
          <cell r="D47">
            <v>99133051</v>
          </cell>
          <cell r="E47" t="str">
            <v>DANISH</v>
          </cell>
          <cell r="F47" t="str">
            <v>Male</v>
          </cell>
          <cell r="G47" t="str">
            <v>PARVEJ ALAM</v>
          </cell>
          <cell r="H47" t="str">
            <v>101508321825</v>
          </cell>
          <cell r="I47" t="str">
            <v>6112111749</v>
          </cell>
        </row>
        <row r="48">
          <cell r="D48">
            <v>99133848</v>
          </cell>
          <cell r="E48" t="str">
            <v>SAKIR ALI</v>
          </cell>
          <cell r="F48" t="str">
            <v>Male</v>
          </cell>
          <cell r="G48" t="str">
            <v>SHAKIL AHAMAD</v>
          </cell>
          <cell r="H48" t="str">
            <v>102077193786</v>
          </cell>
          <cell r="I48" t="str">
            <v>6114182147</v>
          </cell>
        </row>
        <row r="49">
          <cell r="D49">
            <v>99134608</v>
          </cell>
          <cell r="E49" t="str">
            <v>AASKAR</v>
          </cell>
          <cell r="F49" t="str">
            <v>Male</v>
          </cell>
          <cell r="G49" t="str">
            <v>IRFAN</v>
          </cell>
          <cell r="H49" t="str">
            <v>102121985279</v>
          </cell>
          <cell r="I49" t="str">
            <v>6114350935</v>
          </cell>
        </row>
        <row r="50">
          <cell r="D50">
            <v>99134609</v>
          </cell>
          <cell r="E50" t="str">
            <v>AKASH</v>
          </cell>
          <cell r="F50" t="str">
            <v>Male</v>
          </cell>
          <cell r="G50" t="str">
            <v>JAGDEESH</v>
          </cell>
          <cell r="H50" t="str">
            <v>101825802709</v>
          </cell>
          <cell r="I50" t="str">
            <v>6114305172</v>
          </cell>
        </row>
        <row r="51">
          <cell r="D51">
            <v>99134667</v>
          </cell>
          <cell r="E51" t="str">
            <v>SUMIT KUMAR</v>
          </cell>
          <cell r="F51" t="str">
            <v>Male</v>
          </cell>
          <cell r="G51" t="str">
            <v>SEWA RAM</v>
          </cell>
          <cell r="H51" t="str">
            <v>101518399199</v>
          </cell>
          <cell r="I51" t="str">
            <v>6114379212</v>
          </cell>
        </row>
        <row r="52">
          <cell r="D52">
            <v>99134670</v>
          </cell>
          <cell r="E52" t="str">
            <v>ASHISH KUMAR</v>
          </cell>
          <cell r="F52" t="str">
            <v>Male</v>
          </cell>
          <cell r="G52" t="str">
            <v>PARDEEP KUMAR</v>
          </cell>
          <cell r="H52" t="str">
            <v>102071110459</v>
          </cell>
          <cell r="I52" t="str">
            <v>6114222968</v>
          </cell>
        </row>
        <row r="53">
          <cell r="D53">
            <v>99134827</v>
          </cell>
          <cell r="E53" t="str">
            <v>BINTU</v>
          </cell>
          <cell r="F53" t="str">
            <v>Male</v>
          </cell>
          <cell r="G53" t="str">
            <v>OMPAL</v>
          </cell>
          <cell r="H53" t="str">
            <v>101958527487</v>
          </cell>
          <cell r="I53" t="str">
            <v>6113712743</v>
          </cell>
        </row>
        <row r="54">
          <cell r="D54">
            <v>99134829</v>
          </cell>
          <cell r="E54" t="str">
            <v>SAGAR KASHYAP</v>
          </cell>
          <cell r="F54" t="str">
            <v>Male</v>
          </cell>
          <cell r="G54" t="str">
            <v>SOMPAL KASHYAP</v>
          </cell>
          <cell r="H54" t="str">
            <v>102139425206</v>
          </cell>
          <cell r="I54" t="str">
            <v>6114402537</v>
          </cell>
        </row>
        <row r="55">
          <cell r="D55">
            <v>99134835</v>
          </cell>
          <cell r="E55" t="str">
            <v>ABHISHEK</v>
          </cell>
          <cell r="F55" t="str">
            <v>Male</v>
          </cell>
          <cell r="G55" t="str">
            <v>PAPPU SINGH</v>
          </cell>
          <cell r="H55" t="str">
            <v>101815765465</v>
          </cell>
          <cell r="I55" t="str">
            <v>6114053041</v>
          </cell>
        </row>
        <row r="56">
          <cell r="D56">
            <v>99134836</v>
          </cell>
          <cell r="E56" t="str">
            <v>SHAHAVAN</v>
          </cell>
          <cell r="F56" t="str">
            <v>Male</v>
          </cell>
          <cell r="G56" t="str">
            <v>MUSTAFA</v>
          </cell>
          <cell r="H56" t="str">
            <v>102139499693</v>
          </cell>
          <cell r="I56" t="str">
            <v>6114403152</v>
          </cell>
        </row>
        <row r="57">
          <cell r="D57">
            <v>99123525</v>
          </cell>
          <cell r="E57" t="str">
            <v>VISHAL</v>
          </cell>
          <cell r="F57" t="str">
            <v>Male</v>
          </cell>
          <cell r="G57" t="str">
            <v>NARENDRA SINGH</v>
          </cell>
          <cell r="H57" t="str">
            <v>101755360660</v>
          </cell>
          <cell r="I57" t="str">
            <v>6114264835</v>
          </cell>
        </row>
        <row r="58">
          <cell r="D58">
            <v>99135024</v>
          </cell>
          <cell r="E58" t="str">
            <v>YASHPAL</v>
          </cell>
          <cell r="F58" t="str">
            <v>Male</v>
          </cell>
          <cell r="G58" t="str">
            <v>NAKLI RAM</v>
          </cell>
          <cell r="H58" t="str">
            <v>101195070111</v>
          </cell>
          <cell r="I58" t="str">
            <v>6111611839</v>
          </cell>
        </row>
        <row r="59">
          <cell r="D59">
            <v>99135028</v>
          </cell>
          <cell r="E59" t="str">
            <v>MOHAMMAD AHASAN</v>
          </cell>
          <cell r="F59" t="str">
            <v>Male</v>
          </cell>
          <cell r="G59" t="str">
            <v>HASAN</v>
          </cell>
          <cell r="H59" t="str">
            <v>101011530005</v>
          </cell>
          <cell r="I59" t="str">
            <v>6114370942</v>
          </cell>
        </row>
        <row r="60">
          <cell r="D60">
            <v>99135274</v>
          </cell>
          <cell r="E60" t="str">
            <v>SACHIN</v>
          </cell>
          <cell r="F60" t="str">
            <v>Male</v>
          </cell>
          <cell r="G60" t="str">
            <v>KRISHNPAL</v>
          </cell>
          <cell r="H60" t="str">
            <v>100698184036</v>
          </cell>
          <cell r="I60" t="str">
            <v>6114464227</v>
          </cell>
        </row>
        <row r="61">
          <cell r="D61">
            <v>99135605</v>
          </cell>
          <cell r="E61" t="str">
            <v>HUKUM SINGH</v>
          </cell>
          <cell r="F61" t="str">
            <v>Male</v>
          </cell>
          <cell r="G61" t="str">
            <v>SHYAM SINGH</v>
          </cell>
          <cell r="H61" t="str">
            <v>102090112067</v>
          </cell>
          <cell r="I61" t="str">
            <v>6114514919</v>
          </cell>
        </row>
        <row r="62">
          <cell r="D62">
            <v>99135607</v>
          </cell>
          <cell r="E62" t="str">
            <v>HIMANSHU</v>
          </cell>
          <cell r="F62" t="str">
            <v>Male</v>
          </cell>
          <cell r="G62" t="str">
            <v>HUKUM SINGH</v>
          </cell>
          <cell r="H62" t="str">
            <v>102173302156</v>
          </cell>
          <cell r="I62" t="str">
            <v>6114516680</v>
          </cell>
        </row>
        <row r="63">
          <cell r="D63">
            <v>99135611</v>
          </cell>
          <cell r="E63" t="str">
            <v>KULDEEP</v>
          </cell>
          <cell r="F63" t="str">
            <v>Male</v>
          </cell>
          <cell r="G63" t="str">
            <v>SUMMARA</v>
          </cell>
          <cell r="H63" t="str">
            <v>101426106691</v>
          </cell>
          <cell r="I63" t="str">
            <v>6114515249</v>
          </cell>
        </row>
        <row r="64">
          <cell r="D64">
            <v>99135760</v>
          </cell>
          <cell r="E64" t="str">
            <v>DEVENDRA KUMAR</v>
          </cell>
          <cell r="F64" t="str">
            <v>Male</v>
          </cell>
          <cell r="G64" t="str">
            <v>DHARAMVEER</v>
          </cell>
          <cell r="H64" t="str">
            <v>100988958654</v>
          </cell>
          <cell r="I64" t="str">
            <v>6114572522</v>
          </cell>
        </row>
        <row r="65">
          <cell r="D65">
            <v>72232205</v>
          </cell>
          <cell r="E65" t="str">
            <v>JAGENDRA</v>
          </cell>
          <cell r="F65" t="str">
            <v>Male</v>
          </cell>
          <cell r="G65" t="str">
            <v>AJAYPAL</v>
          </cell>
          <cell r="H65" t="str">
            <v>101358281203</v>
          </cell>
          <cell r="I65" t="str">
            <v>6113709313</v>
          </cell>
        </row>
        <row r="66">
          <cell r="D66">
            <v>99124081</v>
          </cell>
          <cell r="E66" t="str">
            <v>AMIT KUMAR</v>
          </cell>
          <cell r="F66" t="str">
            <v>Male</v>
          </cell>
          <cell r="G66" t="str">
            <v>RAMPAL SINGH</v>
          </cell>
          <cell r="H66" t="str">
            <v>102209879690</v>
          </cell>
          <cell r="I66" t="str">
            <v>6114648760</v>
          </cell>
        </row>
        <row r="67">
          <cell r="D67">
            <v>99124082</v>
          </cell>
          <cell r="E67" t="str">
            <v>JOGENDRA KUMAR</v>
          </cell>
          <cell r="F67" t="str">
            <v>Male</v>
          </cell>
          <cell r="G67" t="str">
            <v>KARM SINGH</v>
          </cell>
          <cell r="H67" t="str">
            <v>1022075110005</v>
          </cell>
          <cell r="I67" t="str">
            <v>6114643652</v>
          </cell>
        </row>
        <row r="68">
          <cell r="D68">
            <v>99134610</v>
          </cell>
          <cell r="E68" t="str">
            <v>SHEKHAR</v>
          </cell>
          <cell r="F68" t="str">
            <v>Male</v>
          </cell>
          <cell r="G68" t="str">
            <v>UDESH</v>
          </cell>
          <cell r="H68" t="str">
            <v>101243458722</v>
          </cell>
          <cell r="I68" t="str">
            <v>6114366597</v>
          </cell>
        </row>
        <row r="69">
          <cell r="D69">
            <v>99136181</v>
          </cell>
          <cell r="E69" t="str">
            <v>VISHAL</v>
          </cell>
          <cell r="F69" t="str">
            <v>Male</v>
          </cell>
          <cell r="G69" t="str">
            <v>VIJAY</v>
          </cell>
          <cell r="H69" t="str">
            <v>101886899685</v>
          </cell>
          <cell r="I69" t="str">
            <v>611456310885</v>
          </cell>
        </row>
        <row r="70">
          <cell r="D70">
            <v>72222009</v>
          </cell>
          <cell r="E70" t="str">
            <v>ANKIT KUMAR</v>
          </cell>
          <cell r="F70" t="str">
            <v>Male</v>
          </cell>
          <cell r="G70" t="str">
            <v>DHARMVEER</v>
          </cell>
          <cell r="H70" t="str">
            <v/>
          </cell>
          <cell r="I70" t="str">
            <v>61111599833</v>
          </cell>
        </row>
        <row r="71">
          <cell r="D71">
            <v>72232158</v>
          </cell>
          <cell r="E71" t="str">
            <v>KHILENDRA</v>
          </cell>
          <cell r="F71" t="str">
            <v>Male</v>
          </cell>
          <cell r="G71" t="str">
            <v>JUGDISH SINGH</v>
          </cell>
          <cell r="H71" t="str">
            <v>101277469285</v>
          </cell>
          <cell r="I71" t="str">
            <v>611159985</v>
          </cell>
        </row>
        <row r="72">
          <cell r="D72">
            <v>99124196</v>
          </cell>
          <cell r="E72" t="str">
            <v>ROHIT</v>
          </cell>
          <cell r="F72" t="str">
            <v>Male</v>
          </cell>
          <cell r="G72" t="str">
            <v>RAM KARAN</v>
          </cell>
          <cell r="H72" t="str">
            <v>102214634718</v>
          </cell>
          <cell r="I72" t="str">
            <v>6114670376</v>
          </cell>
        </row>
        <row r="73">
          <cell r="D73">
            <v>99124170</v>
          </cell>
          <cell r="E73" t="str">
            <v>GAURAV</v>
          </cell>
          <cell r="F73" t="str">
            <v>Male</v>
          </cell>
          <cell r="G73" t="str">
            <v>SARBOJ SINGH</v>
          </cell>
          <cell r="H73" t="str">
            <v>101454761820</v>
          </cell>
          <cell r="I73" t="str">
            <v>6114667529</v>
          </cell>
        </row>
        <row r="74">
          <cell r="D74">
            <v>72232184</v>
          </cell>
          <cell r="E74" t="str">
            <v>BHAWAN SINGH</v>
          </cell>
          <cell r="F74" t="str">
            <v>Male</v>
          </cell>
          <cell r="G74" t="str">
            <v>HARPAL</v>
          </cell>
          <cell r="H74" t="str">
            <v>101929143239</v>
          </cell>
          <cell r="I74" t="str">
            <v>6113596771</v>
          </cell>
        </row>
        <row r="75">
          <cell r="D75">
            <v>99124712</v>
          </cell>
          <cell r="E75" t="str">
            <v>AJAY</v>
          </cell>
          <cell r="F75" t="str">
            <v>Male</v>
          </cell>
          <cell r="G75" t="str">
            <v>ROSHAN</v>
          </cell>
          <cell r="H75" t="str">
            <v>102277278461</v>
          </cell>
          <cell r="I75" t="str">
            <v>6114823583</v>
          </cell>
        </row>
        <row r="76">
          <cell r="D76">
            <v>99134845</v>
          </cell>
          <cell r="E76" t="str">
            <v>NAUSHAD</v>
          </cell>
          <cell r="F76" t="str">
            <v>Male</v>
          </cell>
          <cell r="G76" t="str">
            <v>SALEEM</v>
          </cell>
          <cell r="H76" t="str">
            <v>102120466436</v>
          </cell>
          <cell r="I76" t="str">
            <v>6114344115</v>
          </cell>
        </row>
        <row r="77">
          <cell r="D77">
            <v>99134921</v>
          </cell>
          <cell r="E77" t="str">
            <v>AJAY KUMAR</v>
          </cell>
          <cell r="F77" t="str">
            <v>Male</v>
          </cell>
          <cell r="G77" t="str">
            <v>SANDEEP</v>
          </cell>
          <cell r="H77" t="str">
            <v>101891035575</v>
          </cell>
          <cell r="I77" t="str">
            <v>6114411742</v>
          </cell>
        </row>
        <row r="78">
          <cell r="D78">
            <v>99135691</v>
          </cell>
          <cell r="E78" t="str">
            <v>RAKIB</v>
          </cell>
          <cell r="F78" t="str">
            <v>Male</v>
          </cell>
          <cell r="G78" t="str">
            <v>IRFAN</v>
          </cell>
          <cell r="H78" t="str">
            <v>102177219209</v>
          </cell>
          <cell r="I78" t="str">
            <v>6114527027</v>
          </cell>
        </row>
        <row r="79">
          <cell r="D79">
            <v>99136279</v>
          </cell>
          <cell r="E79" t="str">
            <v>VISHAL KUMAR</v>
          </cell>
          <cell r="F79" t="str">
            <v>Male</v>
          </cell>
          <cell r="G79" t="str">
            <v>RAGHUVEER SINGH</v>
          </cell>
          <cell r="H79" t="str">
            <v>101815765052</v>
          </cell>
          <cell r="I79" t="str">
            <v>6113192193</v>
          </cell>
        </row>
        <row r="80">
          <cell r="D80">
            <v>99136379</v>
          </cell>
          <cell r="E80" t="str">
            <v>ABHISHEK</v>
          </cell>
          <cell r="F80" t="str">
            <v>Male</v>
          </cell>
          <cell r="G80" t="str">
            <v>LEKHKHA</v>
          </cell>
          <cell r="H80" t="str">
            <v>101699337393</v>
          </cell>
          <cell r="I80" t="str">
            <v>6114656850</v>
          </cell>
        </row>
        <row r="81">
          <cell r="D81">
            <v>99135240</v>
          </cell>
          <cell r="E81" t="str">
            <v>RAVI</v>
          </cell>
          <cell r="F81" t="str">
            <v>Male</v>
          </cell>
          <cell r="G81" t="str">
            <v>TARA CHAND</v>
          </cell>
          <cell r="H81" t="str">
            <v>102155529843</v>
          </cell>
          <cell r="I81" t="str">
            <v>6114464005</v>
          </cell>
        </row>
        <row r="82">
          <cell r="D82">
            <v>99136381</v>
          </cell>
          <cell r="E82" t="str">
            <v>UJAYFA</v>
          </cell>
          <cell r="F82" t="str">
            <v>Male</v>
          </cell>
          <cell r="G82" t="str">
            <v>SABIR</v>
          </cell>
          <cell r="H82" t="str">
            <v>102211324433</v>
          </cell>
          <cell r="I82" t="str">
            <v>6114656562</v>
          </cell>
        </row>
        <row r="83">
          <cell r="D83">
            <v>99136422</v>
          </cell>
          <cell r="E83" t="str">
            <v>SAURABH</v>
          </cell>
          <cell r="F83" t="str">
            <v>Male</v>
          </cell>
          <cell r="G83" t="str">
            <v>VIKRAM</v>
          </cell>
          <cell r="H83" t="str">
            <v>102211324446</v>
          </cell>
          <cell r="I83" t="str">
            <v>6114656561</v>
          </cell>
        </row>
        <row r="84">
          <cell r="D84">
            <v>99136423</v>
          </cell>
          <cell r="E84" t="str">
            <v>DEEPAK</v>
          </cell>
          <cell r="F84" t="str">
            <v>Male</v>
          </cell>
          <cell r="G84" t="str">
            <v>NEKIRAM</v>
          </cell>
          <cell r="H84" t="str">
            <v>101880112879</v>
          </cell>
          <cell r="I84" t="str">
            <v>6114497975</v>
          </cell>
        </row>
        <row r="85">
          <cell r="D85">
            <v>99124414</v>
          </cell>
          <cell r="E85" t="str">
            <v>ADESH</v>
          </cell>
          <cell r="F85" t="str">
            <v>Male</v>
          </cell>
          <cell r="G85" t="str">
            <v>BALWANT SINGH</v>
          </cell>
          <cell r="H85" t="str">
            <v>101193921718</v>
          </cell>
          <cell r="I85" t="str">
            <v>6114662696</v>
          </cell>
        </row>
        <row r="86">
          <cell r="D86">
            <v>99134665</v>
          </cell>
          <cell r="E86" t="str">
            <v>VIMAL</v>
          </cell>
          <cell r="F86" t="str">
            <v>Male</v>
          </cell>
          <cell r="G86" t="str">
            <v>BABLU</v>
          </cell>
          <cell r="H86" t="str">
            <v>101335636012</v>
          </cell>
          <cell r="I86" t="str">
            <v>6114372620</v>
          </cell>
        </row>
        <row r="87">
          <cell r="D87">
            <v>99134789</v>
          </cell>
          <cell r="E87" t="str">
            <v>NARENDER SINGH</v>
          </cell>
          <cell r="F87" t="str">
            <v>Male</v>
          </cell>
          <cell r="G87" t="str">
            <v>NOURATU</v>
          </cell>
          <cell r="H87" t="str">
            <v>102138312749</v>
          </cell>
          <cell r="I87" t="str">
            <v>6114395428</v>
          </cell>
        </row>
        <row r="88">
          <cell r="D88">
            <v>99136626</v>
          </cell>
          <cell r="E88" t="str">
            <v>ABHISHEK KUMAR</v>
          </cell>
          <cell r="F88" t="str">
            <v>Male</v>
          </cell>
          <cell r="G88" t="str">
            <v>RAJPAL SINGH</v>
          </cell>
          <cell r="H88" t="str">
            <v>102238929336</v>
          </cell>
          <cell r="I88" t="str">
            <v>6114726154</v>
          </cell>
        </row>
        <row r="89">
          <cell r="D89">
            <v>99136729</v>
          </cell>
          <cell r="E89" t="str">
            <v>PARSHANT</v>
          </cell>
          <cell r="F89" t="str">
            <v>Male</v>
          </cell>
          <cell r="G89" t="str">
            <v>CHOTE LAL</v>
          </cell>
          <cell r="H89" t="str">
            <v>102236743417</v>
          </cell>
          <cell r="I89" t="str">
            <v>6114747995</v>
          </cell>
        </row>
        <row r="90">
          <cell r="D90">
            <v>99124713</v>
          </cell>
          <cell r="E90" t="str">
            <v>FIDDA HUSSAIN</v>
          </cell>
          <cell r="F90" t="str">
            <v>Male</v>
          </cell>
          <cell r="G90" t="str">
            <v>NOOR MOHAMMAD</v>
          </cell>
          <cell r="H90" t="str">
            <v>101624515319</v>
          </cell>
          <cell r="I90" t="str">
            <v>6114805831</v>
          </cell>
        </row>
        <row r="91">
          <cell r="D91">
            <v>72232107</v>
          </cell>
          <cell r="E91" t="str">
            <v>SANJU</v>
          </cell>
          <cell r="F91" t="str">
            <v>Male</v>
          </cell>
          <cell r="G91" t="str">
            <v>OMPAL</v>
          </cell>
          <cell r="H91" t="str">
            <v>101092821625</v>
          </cell>
          <cell r="I91" t="str">
            <v>61120600380</v>
          </cell>
        </row>
        <row r="92">
          <cell r="D92">
            <v>99134082</v>
          </cell>
          <cell r="E92" t="str">
            <v>ROHIT KUMAR</v>
          </cell>
          <cell r="F92" t="str">
            <v>Male</v>
          </cell>
          <cell r="G92" t="str">
            <v>SATPAL</v>
          </cell>
        </row>
        <row r="93">
          <cell r="D93">
            <v>99136892</v>
          </cell>
          <cell r="E93" t="str">
            <v>BHOPINDRA</v>
          </cell>
          <cell r="F93" t="str">
            <v>Male</v>
          </cell>
          <cell r="G93" t="str">
            <v>GIRIRAJ</v>
          </cell>
        </row>
        <row r="94">
          <cell r="D94">
            <v>99134846</v>
          </cell>
          <cell r="E94" t="str">
            <v>VASEEM</v>
          </cell>
          <cell r="F94" t="str">
            <v>Male</v>
          </cell>
          <cell r="G94" t="str">
            <v>ANEES</v>
          </cell>
        </row>
        <row r="95">
          <cell r="D95">
            <v>99135486</v>
          </cell>
          <cell r="E95" t="str">
            <v>BRIJESH</v>
          </cell>
          <cell r="F95" t="str">
            <v>Male</v>
          </cell>
          <cell r="G95" t="str">
            <v>MANGERAM</v>
          </cell>
        </row>
        <row r="96">
          <cell r="D96">
            <v>99135487</v>
          </cell>
          <cell r="E96" t="str">
            <v>RAJAN</v>
          </cell>
          <cell r="F96" t="str">
            <v>Male</v>
          </cell>
          <cell r="G96" t="str">
            <v>VINOD</v>
          </cell>
        </row>
        <row r="97">
          <cell r="D97">
            <v>99135488</v>
          </cell>
          <cell r="E97" t="str">
            <v>KULDEEP</v>
          </cell>
          <cell r="F97" t="str">
            <v>Male</v>
          </cell>
          <cell r="G97" t="str">
            <v>SANTRAM</v>
          </cell>
        </row>
        <row r="98">
          <cell r="D98">
            <v>99135489</v>
          </cell>
          <cell r="E98" t="str">
            <v>NITIN KUMAR</v>
          </cell>
          <cell r="F98" t="str">
            <v>Male</v>
          </cell>
          <cell r="G98" t="str">
            <v>MOHAN</v>
          </cell>
        </row>
        <row r="99">
          <cell r="D99">
            <v>99135608</v>
          </cell>
          <cell r="E99" t="str">
            <v>AASHIPH</v>
          </cell>
          <cell r="F99" t="str">
            <v>Male</v>
          </cell>
          <cell r="G99" t="str">
            <v>MAHMOOD</v>
          </cell>
        </row>
        <row r="100">
          <cell r="D100">
            <v>99135775</v>
          </cell>
          <cell r="E100" t="str">
            <v>JAVED</v>
          </cell>
          <cell r="F100" t="str">
            <v>Male</v>
          </cell>
          <cell r="G100" t="str">
            <v>RAFIQ KHAN</v>
          </cell>
        </row>
        <row r="101">
          <cell r="D101">
            <v>99135798</v>
          </cell>
          <cell r="E101" t="str">
            <v>AJAY</v>
          </cell>
          <cell r="F101" t="str">
            <v>Male</v>
          </cell>
          <cell r="G101" t="str">
            <v>JODHA</v>
          </cell>
        </row>
        <row r="102">
          <cell r="D102">
            <v>99135878</v>
          </cell>
          <cell r="E102" t="str">
            <v>ABHISHEK</v>
          </cell>
          <cell r="F102" t="str">
            <v>Male</v>
          </cell>
          <cell r="G102" t="str">
            <v>OMPAL</v>
          </cell>
        </row>
        <row r="103">
          <cell r="D103">
            <v>99137166</v>
          </cell>
          <cell r="E103" t="str">
            <v>NITU SINGH</v>
          </cell>
          <cell r="F103" t="str">
            <v>Male</v>
          </cell>
          <cell r="G103" t="str">
            <v>RISHIPAL</v>
          </cell>
        </row>
        <row r="104">
          <cell r="D104">
            <v>99137260</v>
          </cell>
          <cell r="E104" t="str">
            <v>AIJAJ</v>
          </cell>
          <cell r="F104" t="str">
            <v>Male</v>
          </cell>
          <cell r="G104" t="str">
            <v>JIVAN</v>
          </cell>
        </row>
        <row r="105">
          <cell r="D105">
            <v>99137261</v>
          </cell>
          <cell r="E105" t="str">
            <v>VIKKI</v>
          </cell>
          <cell r="F105" t="str">
            <v>Male</v>
          </cell>
          <cell r="G105" t="str">
            <v>MANGERAM</v>
          </cell>
        </row>
        <row r="106">
          <cell r="D106">
            <v>99137262</v>
          </cell>
          <cell r="E106" t="str">
            <v>SHOYAB ALI</v>
          </cell>
          <cell r="F106" t="str">
            <v>Male</v>
          </cell>
          <cell r="G106" t="str">
            <v>SHER ALI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00CFC-315D-4E4A-9F7F-DEBAEB771D1E}">
  <sheetPr>
    <tabColor theme="1"/>
  </sheetPr>
  <dimension ref="A1:W114"/>
  <sheetViews>
    <sheetView tabSelected="1" zoomScale="70" zoomScaleNormal="70" workbookViewId="0">
      <selection activeCell="J13" sqref="J13"/>
    </sheetView>
  </sheetViews>
  <sheetFormatPr defaultColWidth="9.21875" defaultRowHeight="15.6" x14ac:dyDescent="0.3"/>
  <cols>
    <col min="1" max="1" width="7.5546875" style="5" customWidth="1"/>
    <col min="2" max="2" width="14.21875" style="10" customWidth="1"/>
    <col min="3" max="3" width="23.21875" style="21" customWidth="1"/>
    <col min="4" max="4" width="21.109375" style="91" customWidth="1"/>
    <col min="5" max="5" width="14.21875" style="5" hidden="1" customWidth="1"/>
    <col min="6" max="6" width="12.77734375" style="5" hidden="1" customWidth="1"/>
    <col min="7" max="7" width="11.5546875" style="5" customWidth="1"/>
    <col min="8" max="8" width="12.77734375" style="5" customWidth="1"/>
    <col min="9" max="9" width="9.77734375" style="5" customWidth="1"/>
    <col min="10" max="10" width="10.77734375" style="5" customWidth="1"/>
    <col min="11" max="11" width="11.44140625" style="5" customWidth="1"/>
    <col min="12" max="12" width="11" style="5" customWidth="1"/>
    <col min="13" max="13" width="12.5546875" style="5" bestFit="1" customWidth="1"/>
    <col min="14" max="14" width="8.5546875" style="5" customWidth="1"/>
    <col min="15" max="15" width="10.77734375" style="5" bestFit="1" customWidth="1"/>
    <col min="16" max="16" width="11.21875" style="5" customWidth="1"/>
    <col min="17" max="17" width="10.77734375" style="5" bestFit="1" customWidth="1"/>
    <col min="18" max="18" width="8.5546875" style="5" customWidth="1"/>
    <col min="19" max="19" width="10.44140625" style="5" customWidth="1"/>
    <col min="20" max="20" width="13.21875" style="5" customWidth="1"/>
    <col min="21" max="21" width="17.21875" style="5" bestFit="1" customWidth="1"/>
    <col min="22" max="22" width="11.44140625" style="5" customWidth="1"/>
    <col min="23" max="23" width="18.5546875" style="5" customWidth="1"/>
    <col min="24" max="256" width="9.21875" style="5"/>
    <col min="257" max="257" width="7.5546875" style="5" customWidth="1"/>
    <col min="258" max="258" width="14.21875" style="5" customWidth="1"/>
    <col min="259" max="259" width="23.21875" style="5" customWidth="1"/>
    <col min="260" max="260" width="21.109375" style="5" customWidth="1"/>
    <col min="261" max="262" width="0" style="5" hidden="1" customWidth="1"/>
    <col min="263" max="263" width="11.5546875" style="5" customWidth="1"/>
    <col min="264" max="264" width="12.77734375" style="5" customWidth="1"/>
    <col min="265" max="265" width="9.77734375" style="5" customWidth="1"/>
    <col min="266" max="266" width="10.77734375" style="5" customWidth="1"/>
    <col min="267" max="267" width="11.44140625" style="5" customWidth="1"/>
    <col min="268" max="268" width="11" style="5" customWidth="1"/>
    <col min="269" max="269" width="12.5546875" style="5" bestFit="1" customWidth="1"/>
    <col min="270" max="270" width="8.5546875" style="5" customWidth="1"/>
    <col min="271" max="271" width="10.77734375" style="5" bestFit="1" customWidth="1"/>
    <col min="272" max="272" width="11.21875" style="5" customWidth="1"/>
    <col min="273" max="273" width="10.77734375" style="5" bestFit="1" customWidth="1"/>
    <col min="274" max="274" width="8.5546875" style="5" customWidth="1"/>
    <col min="275" max="275" width="10.44140625" style="5" customWidth="1"/>
    <col min="276" max="276" width="13.21875" style="5" customWidth="1"/>
    <col min="277" max="277" width="17.21875" style="5" bestFit="1" customWidth="1"/>
    <col min="278" max="278" width="11.44140625" style="5" customWidth="1"/>
    <col min="279" max="279" width="18.5546875" style="5" customWidth="1"/>
    <col min="280" max="512" width="9.21875" style="5"/>
    <col min="513" max="513" width="7.5546875" style="5" customWidth="1"/>
    <col min="514" max="514" width="14.21875" style="5" customWidth="1"/>
    <col min="515" max="515" width="23.21875" style="5" customWidth="1"/>
    <col min="516" max="516" width="21.109375" style="5" customWidth="1"/>
    <col min="517" max="518" width="0" style="5" hidden="1" customWidth="1"/>
    <col min="519" max="519" width="11.5546875" style="5" customWidth="1"/>
    <col min="520" max="520" width="12.77734375" style="5" customWidth="1"/>
    <col min="521" max="521" width="9.77734375" style="5" customWidth="1"/>
    <col min="522" max="522" width="10.77734375" style="5" customWidth="1"/>
    <col min="523" max="523" width="11.44140625" style="5" customWidth="1"/>
    <col min="524" max="524" width="11" style="5" customWidth="1"/>
    <col min="525" max="525" width="12.5546875" style="5" bestFit="1" customWidth="1"/>
    <col min="526" max="526" width="8.5546875" style="5" customWidth="1"/>
    <col min="527" max="527" width="10.77734375" style="5" bestFit="1" customWidth="1"/>
    <col min="528" max="528" width="11.21875" style="5" customWidth="1"/>
    <col min="529" max="529" width="10.77734375" style="5" bestFit="1" customWidth="1"/>
    <col min="530" max="530" width="8.5546875" style="5" customWidth="1"/>
    <col min="531" max="531" width="10.44140625" style="5" customWidth="1"/>
    <col min="532" max="532" width="13.21875" style="5" customWidth="1"/>
    <col min="533" max="533" width="17.21875" style="5" bestFit="1" customWidth="1"/>
    <col min="534" max="534" width="11.44140625" style="5" customWidth="1"/>
    <col min="535" max="535" width="18.5546875" style="5" customWidth="1"/>
    <col min="536" max="768" width="9.21875" style="5"/>
    <col min="769" max="769" width="7.5546875" style="5" customWidth="1"/>
    <col min="770" max="770" width="14.21875" style="5" customWidth="1"/>
    <col min="771" max="771" width="23.21875" style="5" customWidth="1"/>
    <col min="772" max="772" width="21.109375" style="5" customWidth="1"/>
    <col min="773" max="774" width="0" style="5" hidden="1" customWidth="1"/>
    <col min="775" max="775" width="11.5546875" style="5" customWidth="1"/>
    <col min="776" max="776" width="12.77734375" style="5" customWidth="1"/>
    <col min="777" max="777" width="9.77734375" style="5" customWidth="1"/>
    <col min="778" max="778" width="10.77734375" style="5" customWidth="1"/>
    <col min="779" max="779" width="11.44140625" style="5" customWidth="1"/>
    <col min="780" max="780" width="11" style="5" customWidth="1"/>
    <col min="781" max="781" width="12.5546875" style="5" bestFit="1" customWidth="1"/>
    <col min="782" max="782" width="8.5546875" style="5" customWidth="1"/>
    <col min="783" max="783" width="10.77734375" style="5" bestFit="1" customWidth="1"/>
    <col min="784" max="784" width="11.21875" style="5" customWidth="1"/>
    <col min="785" max="785" width="10.77734375" style="5" bestFit="1" customWidth="1"/>
    <col min="786" max="786" width="8.5546875" style="5" customWidth="1"/>
    <col min="787" max="787" width="10.44140625" style="5" customWidth="1"/>
    <col min="788" max="788" width="13.21875" style="5" customWidth="1"/>
    <col min="789" max="789" width="17.21875" style="5" bestFit="1" customWidth="1"/>
    <col min="790" max="790" width="11.44140625" style="5" customWidth="1"/>
    <col min="791" max="791" width="18.5546875" style="5" customWidth="1"/>
    <col min="792" max="1024" width="9.21875" style="5"/>
    <col min="1025" max="1025" width="7.5546875" style="5" customWidth="1"/>
    <col min="1026" max="1026" width="14.21875" style="5" customWidth="1"/>
    <col min="1027" max="1027" width="23.21875" style="5" customWidth="1"/>
    <col min="1028" max="1028" width="21.109375" style="5" customWidth="1"/>
    <col min="1029" max="1030" width="0" style="5" hidden="1" customWidth="1"/>
    <col min="1031" max="1031" width="11.5546875" style="5" customWidth="1"/>
    <col min="1032" max="1032" width="12.77734375" style="5" customWidth="1"/>
    <col min="1033" max="1033" width="9.77734375" style="5" customWidth="1"/>
    <col min="1034" max="1034" width="10.77734375" style="5" customWidth="1"/>
    <col min="1035" max="1035" width="11.44140625" style="5" customWidth="1"/>
    <col min="1036" max="1036" width="11" style="5" customWidth="1"/>
    <col min="1037" max="1037" width="12.5546875" style="5" bestFit="1" customWidth="1"/>
    <col min="1038" max="1038" width="8.5546875" style="5" customWidth="1"/>
    <col min="1039" max="1039" width="10.77734375" style="5" bestFit="1" customWidth="1"/>
    <col min="1040" max="1040" width="11.21875" style="5" customWidth="1"/>
    <col min="1041" max="1041" width="10.77734375" style="5" bestFit="1" customWidth="1"/>
    <col min="1042" max="1042" width="8.5546875" style="5" customWidth="1"/>
    <col min="1043" max="1043" width="10.44140625" style="5" customWidth="1"/>
    <col min="1044" max="1044" width="13.21875" style="5" customWidth="1"/>
    <col min="1045" max="1045" width="17.21875" style="5" bestFit="1" customWidth="1"/>
    <col min="1046" max="1046" width="11.44140625" style="5" customWidth="1"/>
    <col min="1047" max="1047" width="18.5546875" style="5" customWidth="1"/>
    <col min="1048" max="1280" width="9.21875" style="5"/>
    <col min="1281" max="1281" width="7.5546875" style="5" customWidth="1"/>
    <col min="1282" max="1282" width="14.21875" style="5" customWidth="1"/>
    <col min="1283" max="1283" width="23.21875" style="5" customWidth="1"/>
    <col min="1284" max="1284" width="21.109375" style="5" customWidth="1"/>
    <col min="1285" max="1286" width="0" style="5" hidden="1" customWidth="1"/>
    <col min="1287" max="1287" width="11.5546875" style="5" customWidth="1"/>
    <col min="1288" max="1288" width="12.77734375" style="5" customWidth="1"/>
    <col min="1289" max="1289" width="9.77734375" style="5" customWidth="1"/>
    <col min="1290" max="1290" width="10.77734375" style="5" customWidth="1"/>
    <col min="1291" max="1291" width="11.44140625" style="5" customWidth="1"/>
    <col min="1292" max="1292" width="11" style="5" customWidth="1"/>
    <col min="1293" max="1293" width="12.5546875" style="5" bestFit="1" customWidth="1"/>
    <col min="1294" max="1294" width="8.5546875" style="5" customWidth="1"/>
    <col min="1295" max="1295" width="10.77734375" style="5" bestFit="1" customWidth="1"/>
    <col min="1296" max="1296" width="11.21875" style="5" customWidth="1"/>
    <col min="1297" max="1297" width="10.77734375" style="5" bestFit="1" customWidth="1"/>
    <col min="1298" max="1298" width="8.5546875" style="5" customWidth="1"/>
    <col min="1299" max="1299" width="10.44140625" style="5" customWidth="1"/>
    <col min="1300" max="1300" width="13.21875" style="5" customWidth="1"/>
    <col min="1301" max="1301" width="17.21875" style="5" bestFit="1" customWidth="1"/>
    <col min="1302" max="1302" width="11.44140625" style="5" customWidth="1"/>
    <col min="1303" max="1303" width="18.5546875" style="5" customWidth="1"/>
    <col min="1304" max="1536" width="9.21875" style="5"/>
    <col min="1537" max="1537" width="7.5546875" style="5" customWidth="1"/>
    <col min="1538" max="1538" width="14.21875" style="5" customWidth="1"/>
    <col min="1539" max="1539" width="23.21875" style="5" customWidth="1"/>
    <col min="1540" max="1540" width="21.109375" style="5" customWidth="1"/>
    <col min="1541" max="1542" width="0" style="5" hidden="1" customWidth="1"/>
    <col min="1543" max="1543" width="11.5546875" style="5" customWidth="1"/>
    <col min="1544" max="1544" width="12.77734375" style="5" customWidth="1"/>
    <col min="1545" max="1545" width="9.77734375" style="5" customWidth="1"/>
    <col min="1546" max="1546" width="10.77734375" style="5" customWidth="1"/>
    <col min="1547" max="1547" width="11.44140625" style="5" customWidth="1"/>
    <col min="1548" max="1548" width="11" style="5" customWidth="1"/>
    <col min="1549" max="1549" width="12.5546875" style="5" bestFit="1" customWidth="1"/>
    <col min="1550" max="1550" width="8.5546875" style="5" customWidth="1"/>
    <col min="1551" max="1551" width="10.77734375" style="5" bestFit="1" customWidth="1"/>
    <col min="1552" max="1552" width="11.21875" style="5" customWidth="1"/>
    <col min="1553" max="1553" width="10.77734375" style="5" bestFit="1" customWidth="1"/>
    <col min="1554" max="1554" width="8.5546875" style="5" customWidth="1"/>
    <col min="1555" max="1555" width="10.44140625" style="5" customWidth="1"/>
    <col min="1556" max="1556" width="13.21875" style="5" customWidth="1"/>
    <col min="1557" max="1557" width="17.21875" style="5" bestFit="1" customWidth="1"/>
    <col min="1558" max="1558" width="11.44140625" style="5" customWidth="1"/>
    <col min="1559" max="1559" width="18.5546875" style="5" customWidth="1"/>
    <col min="1560" max="1792" width="9.21875" style="5"/>
    <col min="1793" max="1793" width="7.5546875" style="5" customWidth="1"/>
    <col min="1794" max="1794" width="14.21875" style="5" customWidth="1"/>
    <col min="1795" max="1795" width="23.21875" style="5" customWidth="1"/>
    <col min="1796" max="1796" width="21.109375" style="5" customWidth="1"/>
    <col min="1797" max="1798" width="0" style="5" hidden="1" customWidth="1"/>
    <col min="1799" max="1799" width="11.5546875" style="5" customWidth="1"/>
    <col min="1800" max="1800" width="12.77734375" style="5" customWidth="1"/>
    <col min="1801" max="1801" width="9.77734375" style="5" customWidth="1"/>
    <col min="1802" max="1802" width="10.77734375" style="5" customWidth="1"/>
    <col min="1803" max="1803" width="11.44140625" style="5" customWidth="1"/>
    <col min="1804" max="1804" width="11" style="5" customWidth="1"/>
    <col min="1805" max="1805" width="12.5546875" style="5" bestFit="1" customWidth="1"/>
    <col min="1806" max="1806" width="8.5546875" style="5" customWidth="1"/>
    <col min="1807" max="1807" width="10.77734375" style="5" bestFit="1" customWidth="1"/>
    <col min="1808" max="1808" width="11.21875" style="5" customWidth="1"/>
    <col min="1809" max="1809" width="10.77734375" style="5" bestFit="1" customWidth="1"/>
    <col min="1810" max="1810" width="8.5546875" style="5" customWidth="1"/>
    <col min="1811" max="1811" width="10.44140625" style="5" customWidth="1"/>
    <col min="1812" max="1812" width="13.21875" style="5" customWidth="1"/>
    <col min="1813" max="1813" width="17.21875" style="5" bestFit="1" customWidth="1"/>
    <col min="1814" max="1814" width="11.44140625" style="5" customWidth="1"/>
    <col min="1815" max="1815" width="18.5546875" style="5" customWidth="1"/>
    <col min="1816" max="2048" width="9.21875" style="5"/>
    <col min="2049" max="2049" width="7.5546875" style="5" customWidth="1"/>
    <col min="2050" max="2050" width="14.21875" style="5" customWidth="1"/>
    <col min="2051" max="2051" width="23.21875" style="5" customWidth="1"/>
    <col min="2052" max="2052" width="21.109375" style="5" customWidth="1"/>
    <col min="2053" max="2054" width="0" style="5" hidden="1" customWidth="1"/>
    <col min="2055" max="2055" width="11.5546875" style="5" customWidth="1"/>
    <col min="2056" max="2056" width="12.77734375" style="5" customWidth="1"/>
    <col min="2057" max="2057" width="9.77734375" style="5" customWidth="1"/>
    <col min="2058" max="2058" width="10.77734375" style="5" customWidth="1"/>
    <col min="2059" max="2059" width="11.44140625" style="5" customWidth="1"/>
    <col min="2060" max="2060" width="11" style="5" customWidth="1"/>
    <col min="2061" max="2061" width="12.5546875" style="5" bestFit="1" customWidth="1"/>
    <col min="2062" max="2062" width="8.5546875" style="5" customWidth="1"/>
    <col min="2063" max="2063" width="10.77734375" style="5" bestFit="1" customWidth="1"/>
    <col min="2064" max="2064" width="11.21875" style="5" customWidth="1"/>
    <col min="2065" max="2065" width="10.77734375" style="5" bestFit="1" customWidth="1"/>
    <col min="2066" max="2066" width="8.5546875" style="5" customWidth="1"/>
    <col min="2067" max="2067" width="10.44140625" style="5" customWidth="1"/>
    <col min="2068" max="2068" width="13.21875" style="5" customWidth="1"/>
    <col min="2069" max="2069" width="17.21875" style="5" bestFit="1" customWidth="1"/>
    <col min="2070" max="2070" width="11.44140625" style="5" customWidth="1"/>
    <col min="2071" max="2071" width="18.5546875" style="5" customWidth="1"/>
    <col min="2072" max="2304" width="9.21875" style="5"/>
    <col min="2305" max="2305" width="7.5546875" style="5" customWidth="1"/>
    <col min="2306" max="2306" width="14.21875" style="5" customWidth="1"/>
    <col min="2307" max="2307" width="23.21875" style="5" customWidth="1"/>
    <col min="2308" max="2308" width="21.109375" style="5" customWidth="1"/>
    <col min="2309" max="2310" width="0" style="5" hidden="1" customWidth="1"/>
    <col min="2311" max="2311" width="11.5546875" style="5" customWidth="1"/>
    <col min="2312" max="2312" width="12.77734375" style="5" customWidth="1"/>
    <col min="2313" max="2313" width="9.77734375" style="5" customWidth="1"/>
    <col min="2314" max="2314" width="10.77734375" style="5" customWidth="1"/>
    <col min="2315" max="2315" width="11.44140625" style="5" customWidth="1"/>
    <col min="2316" max="2316" width="11" style="5" customWidth="1"/>
    <col min="2317" max="2317" width="12.5546875" style="5" bestFit="1" customWidth="1"/>
    <col min="2318" max="2318" width="8.5546875" style="5" customWidth="1"/>
    <col min="2319" max="2319" width="10.77734375" style="5" bestFit="1" customWidth="1"/>
    <col min="2320" max="2320" width="11.21875" style="5" customWidth="1"/>
    <col min="2321" max="2321" width="10.77734375" style="5" bestFit="1" customWidth="1"/>
    <col min="2322" max="2322" width="8.5546875" style="5" customWidth="1"/>
    <col min="2323" max="2323" width="10.44140625" style="5" customWidth="1"/>
    <col min="2324" max="2324" width="13.21875" style="5" customWidth="1"/>
    <col min="2325" max="2325" width="17.21875" style="5" bestFit="1" customWidth="1"/>
    <col min="2326" max="2326" width="11.44140625" style="5" customWidth="1"/>
    <col min="2327" max="2327" width="18.5546875" style="5" customWidth="1"/>
    <col min="2328" max="2560" width="9.21875" style="5"/>
    <col min="2561" max="2561" width="7.5546875" style="5" customWidth="1"/>
    <col min="2562" max="2562" width="14.21875" style="5" customWidth="1"/>
    <col min="2563" max="2563" width="23.21875" style="5" customWidth="1"/>
    <col min="2564" max="2564" width="21.109375" style="5" customWidth="1"/>
    <col min="2565" max="2566" width="0" style="5" hidden="1" customWidth="1"/>
    <col min="2567" max="2567" width="11.5546875" style="5" customWidth="1"/>
    <col min="2568" max="2568" width="12.77734375" style="5" customWidth="1"/>
    <col min="2569" max="2569" width="9.77734375" style="5" customWidth="1"/>
    <col min="2570" max="2570" width="10.77734375" style="5" customWidth="1"/>
    <col min="2571" max="2571" width="11.44140625" style="5" customWidth="1"/>
    <col min="2572" max="2572" width="11" style="5" customWidth="1"/>
    <col min="2573" max="2573" width="12.5546875" style="5" bestFit="1" customWidth="1"/>
    <col min="2574" max="2574" width="8.5546875" style="5" customWidth="1"/>
    <col min="2575" max="2575" width="10.77734375" style="5" bestFit="1" customWidth="1"/>
    <col min="2576" max="2576" width="11.21875" style="5" customWidth="1"/>
    <col min="2577" max="2577" width="10.77734375" style="5" bestFit="1" customWidth="1"/>
    <col min="2578" max="2578" width="8.5546875" style="5" customWidth="1"/>
    <col min="2579" max="2579" width="10.44140625" style="5" customWidth="1"/>
    <col min="2580" max="2580" width="13.21875" style="5" customWidth="1"/>
    <col min="2581" max="2581" width="17.21875" style="5" bestFit="1" customWidth="1"/>
    <col min="2582" max="2582" width="11.44140625" style="5" customWidth="1"/>
    <col min="2583" max="2583" width="18.5546875" style="5" customWidth="1"/>
    <col min="2584" max="2816" width="9.21875" style="5"/>
    <col min="2817" max="2817" width="7.5546875" style="5" customWidth="1"/>
    <col min="2818" max="2818" width="14.21875" style="5" customWidth="1"/>
    <col min="2819" max="2819" width="23.21875" style="5" customWidth="1"/>
    <col min="2820" max="2820" width="21.109375" style="5" customWidth="1"/>
    <col min="2821" max="2822" width="0" style="5" hidden="1" customWidth="1"/>
    <col min="2823" max="2823" width="11.5546875" style="5" customWidth="1"/>
    <col min="2824" max="2824" width="12.77734375" style="5" customWidth="1"/>
    <col min="2825" max="2825" width="9.77734375" style="5" customWidth="1"/>
    <col min="2826" max="2826" width="10.77734375" style="5" customWidth="1"/>
    <col min="2827" max="2827" width="11.44140625" style="5" customWidth="1"/>
    <col min="2828" max="2828" width="11" style="5" customWidth="1"/>
    <col min="2829" max="2829" width="12.5546875" style="5" bestFit="1" customWidth="1"/>
    <col min="2830" max="2830" width="8.5546875" style="5" customWidth="1"/>
    <col min="2831" max="2831" width="10.77734375" style="5" bestFit="1" customWidth="1"/>
    <col min="2832" max="2832" width="11.21875" style="5" customWidth="1"/>
    <col min="2833" max="2833" width="10.77734375" style="5" bestFit="1" customWidth="1"/>
    <col min="2834" max="2834" width="8.5546875" style="5" customWidth="1"/>
    <col min="2835" max="2835" width="10.44140625" style="5" customWidth="1"/>
    <col min="2836" max="2836" width="13.21875" style="5" customWidth="1"/>
    <col min="2837" max="2837" width="17.21875" style="5" bestFit="1" customWidth="1"/>
    <col min="2838" max="2838" width="11.44140625" style="5" customWidth="1"/>
    <col min="2839" max="2839" width="18.5546875" style="5" customWidth="1"/>
    <col min="2840" max="3072" width="9.21875" style="5"/>
    <col min="3073" max="3073" width="7.5546875" style="5" customWidth="1"/>
    <col min="3074" max="3074" width="14.21875" style="5" customWidth="1"/>
    <col min="3075" max="3075" width="23.21875" style="5" customWidth="1"/>
    <col min="3076" max="3076" width="21.109375" style="5" customWidth="1"/>
    <col min="3077" max="3078" width="0" style="5" hidden="1" customWidth="1"/>
    <col min="3079" max="3079" width="11.5546875" style="5" customWidth="1"/>
    <col min="3080" max="3080" width="12.77734375" style="5" customWidth="1"/>
    <col min="3081" max="3081" width="9.77734375" style="5" customWidth="1"/>
    <col min="3082" max="3082" width="10.77734375" style="5" customWidth="1"/>
    <col min="3083" max="3083" width="11.44140625" style="5" customWidth="1"/>
    <col min="3084" max="3084" width="11" style="5" customWidth="1"/>
    <col min="3085" max="3085" width="12.5546875" style="5" bestFit="1" customWidth="1"/>
    <col min="3086" max="3086" width="8.5546875" style="5" customWidth="1"/>
    <col min="3087" max="3087" width="10.77734375" style="5" bestFit="1" customWidth="1"/>
    <col min="3088" max="3088" width="11.21875" style="5" customWidth="1"/>
    <col min="3089" max="3089" width="10.77734375" style="5" bestFit="1" customWidth="1"/>
    <col min="3090" max="3090" width="8.5546875" style="5" customWidth="1"/>
    <col min="3091" max="3091" width="10.44140625" style="5" customWidth="1"/>
    <col min="3092" max="3092" width="13.21875" style="5" customWidth="1"/>
    <col min="3093" max="3093" width="17.21875" style="5" bestFit="1" customWidth="1"/>
    <col min="3094" max="3094" width="11.44140625" style="5" customWidth="1"/>
    <col min="3095" max="3095" width="18.5546875" style="5" customWidth="1"/>
    <col min="3096" max="3328" width="9.21875" style="5"/>
    <col min="3329" max="3329" width="7.5546875" style="5" customWidth="1"/>
    <col min="3330" max="3330" width="14.21875" style="5" customWidth="1"/>
    <col min="3331" max="3331" width="23.21875" style="5" customWidth="1"/>
    <col min="3332" max="3332" width="21.109375" style="5" customWidth="1"/>
    <col min="3333" max="3334" width="0" style="5" hidden="1" customWidth="1"/>
    <col min="3335" max="3335" width="11.5546875" style="5" customWidth="1"/>
    <col min="3336" max="3336" width="12.77734375" style="5" customWidth="1"/>
    <col min="3337" max="3337" width="9.77734375" style="5" customWidth="1"/>
    <col min="3338" max="3338" width="10.77734375" style="5" customWidth="1"/>
    <col min="3339" max="3339" width="11.44140625" style="5" customWidth="1"/>
    <col min="3340" max="3340" width="11" style="5" customWidth="1"/>
    <col min="3341" max="3341" width="12.5546875" style="5" bestFit="1" customWidth="1"/>
    <col min="3342" max="3342" width="8.5546875" style="5" customWidth="1"/>
    <col min="3343" max="3343" width="10.77734375" style="5" bestFit="1" customWidth="1"/>
    <col min="3344" max="3344" width="11.21875" style="5" customWidth="1"/>
    <col min="3345" max="3345" width="10.77734375" style="5" bestFit="1" customWidth="1"/>
    <col min="3346" max="3346" width="8.5546875" style="5" customWidth="1"/>
    <col min="3347" max="3347" width="10.44140625" style="5" customWidth="1"/>
    <col min="3348" max="3348" width="13.21875" style="5" customWidth="1"/>
    <col min="3349" max="3349" width="17.21875" style="5" bestFit="1" customWidth="1"/>
    <col min="3350" max="3350" width="11.44140625" style="5" customWidth="1"/>
    <col min="3351" max="3351" width="18.5546875" style="5" customWidth="1"/>
    <col min="3352" max="3584" width="9.21875" style="5"/>
    <col min="3585" max="3585" width="7.5546875" style="5" customWidth="1"/>
    <col min="3586" max="3586" width="14.21875" style="5" customWidth="1"/>
    <col min="3587" max="3587" width="23.21875" style="5" customWidth="1"/>
    <col min="3588" max="3588" width="21.109375" style="5" customWidth="1"/>
    <col min="3589" max="3590" width="0" style="5" hidden="1" customWidth="1"/>
    <col min="3591" max="3591" width="11.5546875" style="5" customWidth="1"/>
    <col min="3592" max="3592" width="12.77734375" style="5" customWidth="1"/>
    <col min="3593" max="3593" width="9.77734375" style="5" customWidth="1"/>
    <col min="3594" max="3594" width="10.77734375" style="5" customWidth="1"/>
    <col min="3595" max="3595" width="11.44140625" style="5" customWidth="1"/>
    <col min="3596" max="3596" width="11" style="5" customWidth="1"/>
    <col min="3597" max="3597" width="12.5546875" style="5" bestFit="1" customWidth="1"/>
    <col min="3598" max="3598" width="8.5546875" style="5" customWidth="1"/>
    <col min="3599" max="3599" width="10.77734375" style="5" bestFit="1" customWidth="1"/>
    <col min="3600" max="3600" width="11.21875" style="5" customWidth="1"/>
    <col min="3601" max="3601" width="10.77734375" style="5" bestFit="1" customWidth="1"/>
    <col min="3602" max="3602" width="8.5546875" style="5" customWidth="1"/>
    <col min="3603" max="3603" width="10.44140625" style="5" customWidth="1"/>
    <col min="3604" max="3604" width="13.21875" style="5" customWidth="1"/>
    <col min="3605" max="3605" width="17.21875" style="5" bestFit="1" customWidth="1"/>
    <col min="3606" max="3606" width="11.44140625" style="5" customWidth="1"/>
    <col min="3607" max="3607" width="18.5546875" style="5" customWidth="1"/>
    <col min="3608" max="3840" width="9.21875" style="5"/>
    <col min="3841" max="3841" width="7.5546875" style="5" customWidth="1"/>
    <col min="3842" max="3842" width="14.21875" style="5" customWidth="1"/>
    <col min="3843" max="3843" width="23.21875" style="5" customWidth="1"/>
    <col min="3844" max="3844" width="21.109375" style="5" customWidth="1"/>
    <col min="3845" max="3846" width="0" style="5" hidden="1" customWidth="1"/>
    <col min="3847" max="3847" width="11.5546875" style="5" customWidth="1"/>
    <col min="3848" max="3848" width="12.77734375" style="5" customWidth="1"/>
    <col min="3849" max="3849" width="9.77734375" style="5" customWidth="1"/>
    <col min="3850" max="3850" width="10.77734375" style="5" customWidth="1"/>
    <col min="3851" max="3851" width="11.44140625" style="5" customWidth="1"/>
    <col min="3852" max="3852" width="11" style="5" customWidth="1"/>
    <col min="3853" max="3853" width="12.5546875" style="5" bestFit="1" customWidth="1"/>
    <col min="3854" max="3854" width="8.5546875" style="5" customWidth="1"/>
    <col min="3855" max="3855" width="10.77734375" style="5" bestFit="1" customWidth="1"/>
    <col min="3856" max="3856" width="11.21875" style="5" customWidth="1"/>
    <col min="3857" max="3857" width="10.77734375" style="5" bestFit="1" customWidth="1"/>
    <col min="3858" max="3858" width="8.5546875" style="5" customWidth="1"/>
    <col min="3859" max="3859" width="10.44140625" style="5" customWidth="1"/>
    <col min="3860" max="3860" width="13.21875" style="5" customWidth="1"/>
    <col min="3861" max="3861" width="17.21875" style="5" bestFit="1" customWidth="1"/>
    <col min="3862" max="3862" width="11.44140625" style="5" customWidth="1"/>
    <col min="3863" max="3863" width="18.5546875" style="5" customWidth="1"/>
    <col min="3864" max="4096" width="9.21875" style="5"/>
    <col min="4097" max="4097" width="7.5546875" style="5" customWidth="1"/>
    <col min="4098" max="4098" width="14.21875" style="5" customWidth="1"/>
    <col min="4099" max="4099" width="23.21875" style="5" customWidth="1"/>
    <col min="4100" max="4100" width="21.109375" style="5" customWidth="1"/>
    <col min="4101" max="4102" width="0" style="5" hidden="1" customWidth="1"/>
    <col min="4103" max="4103" width="11.5546875" style="5" customWidth="1"/>
    <col min="4104" max="4104" width="12.77734375" style="5" customWidth="1"/>
    <col min="4105" max="4105" width="9.77734375" style="5" customWidth="1"/>
    <col min="4106" max="4106" width="10.77734375" style="5" customWidth="1"/>
    <col min="4107" max="4107" width="11.44140625" style="5" customWidth="1"/>
    <col min="4108" max="4108" width="11" style="5" customWidth="1"/>
    <col min="4109" max="4109" width="12.5546875" style="5" bestFit="1" customWidth="1"/>
    <col min="4110" max="4110" width="8.5546875" style="5" customWidth="1"/>
    <col min="4111" max="4111" width="10.77734375" style="5" bestFit="1" customWidth="1"/>
    <col min="4112" max="4112" width="11.21875" style="5" customWidth="1"/>
    <col min="4113" max="4113" width="10.77734375" style="5" bestFit="1" customWidth="1"/>
    <col min="4114" max="4114" width="8.5546875" style="5" customWidth="1"/>
    <col min="4115" max="4115" width="10.44140625" style="5" customWidth="1"/>
    <col min="4116" max="4116" width="13.21875" style="5" customWidth="1"/>
    <col min="4117" max="4117" width="17.21875" style="5" bestFit="1" customWidth="1"/>
    <col min="4118" max="4118" width="11.44140625" style="5" customWidth="1"/>
    <col min="4119" max="4119" width="18.5546875" style="5" customWidth="1"/>
    <col min="4120" max="4352" width="9.21875" style="5"/>
    <col min="4353" max="4353" width="7.5546875" style="5" customWidth="1"/>
    <col min="4354" max="4354" width="14.21875" style="5" customWidth="1"/>
    <col min="4355" max="4355" width="23.21875" style="5" customWidth="1"/>
    <col min="4356" max="4356" width="21.109375" style="5" customWidth="1"/>
    <col min="4357" max="4358" width="0" style="5" hidden="1" customWidth="1"/>
    <col min="4359" max="4359" width="11.5546875" style="5" customWidth="1"/>
    <col min="4360" max="4360" width="12.77734375" style="5" customWidth="1"/>
    <col min="4361" max="4361" width="9.77734375" style="5" customWidth="1"/>
    <col min="4362" max="4362" width="10.77734375" style="5" customWidth="1"/>
    <col min="4363" max="4363" width="11.44140625" style="5" customWidth="1"/>
    <col min="4364" max="4364" width="11" style="5" customWidth="1"/>
    <col min="4365" max="4365" width="12.5546875" style="5" bestFit="1" customWidth="1"/>
    <col min="4366" max="4366" width="8.5546875" style="5" customWidth="1"/>
    <col min="4367" max="4367" width="10.77734375" style="5" bestFit="1" customWidth="1"/>
    <col min="4368" max="4368" width="11.21875" style="5" customWidth="1"/>
    <col min="4369" max="4369" width="10.77734375" style="5" bestFit="1" customWidth="1"/>
    <col min="4370" max="4370" width="8.5546875" style="5" customWidth="1"/>
    <col min="4371" max="4371" width="10.44140625" style="5" customWidth="1"/>
    <col min="4372" max="4372" width="13.21875" style="5" customWidth="1"/>
    <col min="4373" max="4373" width="17.21875" style="5" bestFit="1" customWidth="1"/>
    <col min="4374" max="4374" width="11.44140625" style="5" customWidth="1"/>
    <col min="4375" max="4375" width="18.5546875" style="5" customWidth="1"/>
    <col min="4376" max="4608" width="9.21875" style="5"/>
    <col min="4609" max="4609" width="7.5546875" style="5" customWidth="1"/>
    <col min="4610" max="4610" width="14.21875" style="5" customWidth="1"/>
    <col min="4611" max="4611" width="23.21875" style="5" customWidth="1"/>
    <col min="4612" max="4612" width="21.109375" style="5" customWidth="1"/>
    <col min="4613" max="4614" width="0" style="5" hidden="1" customWidth="1"/>
    <col min="4615" max="4615" width="11.5546875" style="5" customWidth="1"/>
    <col min="4616" max="4616" width="12.77734375" style="5" customWidth="1"/>
    <col min="4617" max="4617" width="9.77734375" style="5" customWidth="1"/>
    <col min="4618" max="4618" width="10.77734375" style="5" customWidth="1"/>
    <col min="4619" max="4619" width="11.44140625" style="5" customWidth="1"/>
    <col min="4620" max="4620" width="11" style="5" customWidth="1"/>
    <col min="4621" max="4621" width="12.5546875" style="5" bestFit="1" customWidth="1"/>
    <col min="4622" max="4622" width="8.5546875" style="5" customWidth="1"/>
    <col min="4623" max="4623" width="10.77734375" style="5" bestFit="1" customWidth="1"/>
    <col min="4624" max="4624" width="11.21875" style="5" customWidth="1"/>
    <col min="4625" max="4625" width="10.77734375" style="5" bestFit="1" customWidth="1"/>
    <col min="4626" max="4626" width="8.5546875" style="5" customWidth="1"/>
    <col min="4627" max="4627" width="10.44140625" style="5" customWidth="1"/>
    <col min="4628" max="4628" width="13.21875" style="5" customWidth="1"/>
    <col min="4629" max="4629" width="17.21875" style="5" bestFit="1" customWidth="1"/>
    <col min="4630" max="4630" width="11.44140625" style="5" customWidth="1"/>
    <col min="4631" max="4631" width="18.5546875" style="5" customWidth="1"/>
    <col min="4632" max="4864" width="9.21875" style="5"/>
    <col min="4865" max="4865" width="7.5546875" style="5" customWidth="1"/>
    <col min="4866" max="4866" width="14.21875" style="5" customWidth="1"/>
    <col min="4867" max="4867" width="23.21875" style="5" customWidth="1"/>
    <col min="4868" max="4868" width="21.109375" style="5" customWidth="1"/>
    <col min="4869" max="4870" width="0" style="5" hidden="1" customWidth="1"/>
    <col min="4871" max="4871" width="11.5546875" style="5" customWidth="1"/>
    <col min="4872" max="4872" width="12.77734375" style="5" customWidth="1"/>
    <col min="4873" max="4873" width="9.77734375" style="5" customWidth="1"/>
    <col min="4874" max="4874" width="10.77734375" style="5" customWidth="1"/>
    <col min="4875" max="4875" width="11.44140625" style="5" customWidth="1"/>
    <col min="4876" max="4876" width="11" style="5" customWidth="1"/>
    <col min="4877" max="4877" width="12.5546875" style="5" bestFit="1" customWidth="1"/>
    <col min="4878" max="4878" width="8.5546875" style="5" customWidth="1"/>
    <col min="4879" max="4879" width="10.77734375" style="5" bestFit="1" customWidth="1"/>
    <col min="4880" max="4880" width="11.21875" style="5" customWidth="1"/>
    <col min="4881" max="4881" width="10.77734375" style="5" bestFit="1" customWidth="1"/>
    <col min="4882" max="4882" width="8.5546875" style="5" customWidth="1"/>
    <col min="4883" max="4883" width="10.44140625" style="5" customWidth="1"/>
    <col min="4884" max="4884" width="13.21875" style="5" customWidth="1"/>
    <col min="4885" max="4885" width="17.21875" style="5" bestFit="1" customWidth="1"/>
    <col min="4886" max="4886" width="11.44140625" style="5" customWidth="1"/>
    <col min="4887" max="4887" width="18.5546875" style="5" customWidth="1"/>
    <col min="4888" max="5120" width="9.21875" style="5"/>
    <col min="5121" max="5121" width="7.5546875" style="5" customWidth="1"/>
    <col min="5122" max="5122" width="14.21875" style="5" customWidth="1"/>
    <col min="5123" max="5123" width="23.21875" style="5" customWidth="1"/>
    <col min="5124" max="5124" width="21.109375" style="5" customWidth="1"/>
    <col min="5125" max="5126" width="0" style="5" hidden="1" customWidth="1"/>
    <col min="5127" max="5127" width="11.5546875" style="5" customWidth="1"/>
    <col min="5128" max="5128" width="12.77734375" style="5" customWidth="1"/>
    <col min="5129" max="5129" width="9.77734375" style="5" customWidth="1"/>
    <col min="5130" max="5130" width="10.77734375" style="5" customWidth="1"/>
    <col min="5131" max="5131" width="11.44140625" style="5" customWidth="1"/>
    <col min="5132" max="5132" width="11" style="5" customWidth="1"/>
    <col min="5133" max="5133" width="12.5546875" style="5" bestFit="1" customWidth="1"/>
    <col min="5134" max="5134" width="8.5546875" style="5" customWidth="1"/>
    <col min="5135" max="5135" width="10.77734375" style="5" bestFit="1" customWidth="1"/>
    <col min="5136" max="5136" width="11.21875" style="5" customWidth="1"/>
    <col min="5137" max="5137" width="10.77734375" style="5" bestFit="1" customWidth="1"/>
    <col min="5138" max="5138" width="8.5546875" style="5" customWidth="1"/>
    <col min="5139" max="5139" width="10.44140625" style="5" customWidth="1"/>
    <col min="5140" max="5140" width="13.21875" style="5" customWidth="1"/>
    <col min="5141" max="5141" width="17.21875" style="5" bestFit="1" customWidth="1"/>
    <col min="5142" max="5142" width="11.44140625" style="5" customWidth="1"/>
    <col min="5143" max="5143" width="18.5546875" style="5" customWidth="1"/>
    <col min="5144" max="5376" width="9.21875" style="5"/>
    <col min="5377" max="5377" width="7.5546875" style="5" customWidth="1"/>
    <col min="5378" max="5378" width="14.21875" style="5" customWidth="1"/>
    <col min="5379" max="5379" width="23.21875" style="5" customWidth="1"/>
    <col min="5380" max="5380" width="21.109375" style="5" customWidth="1"/>
    <col min="5381" max="5382" width="0" style="5" hidden="1" customWidth="1"/>
    <col min="5383" max="5383" width="11.5546875" style="5" customWidth="1"/>
    <col min="5384" max="5384" width="12.77734375" style="5" customWidth="1"/>
    <col min="5385" max="5385" width="9.77734375" style="5" customWidth="1"/>
    <col min="5386" max="5386" width="10.77734375" style="5" customWidth="1"/>
    <col min="5387" max="5387" width="11.44140625" style="5" customWidth="1"/>
    <col min="5388" max="5388" width="11" style="5" customWidth="1"/>
    <col min="5389" max="5389" width="12.5546875" style="5" bestFit="1" customWidth="1"/>
    <col min="5390" max="5390" width="8.5546875" style="5" customWidth="1"/>
    <col min="5391" max="5391" width="10.77734375" style="5" bestFit="1" customWidth="1"/>
    <col min="5392" max="5392" width="11.21875" style="5" customWidth="1"/>
    <col min="5393" max="5393" width="10.77734375" style="5" bestFit="1" customWidth="1"/>
    <col min="5394" max="5394" width="8.5546875" style="5" customWidth="1"/>
    <col min="5395" max="5395" width="10.44140625" style="5" customWidth="1"/>
    <col min="5396" max="5396" width="13.21875" style="5" customWidth="1"/>
    <col min="5397" max="5397" width="17.21875" style="5" bestFit="1" customWidth="1"/>
    <col min="5398" max="5398" width="11.44140625" style="5" customWidth="1"/>
    <col min="5399" max="5399" width="18.5546875" style="5" customWidth="1"/>
    <col min="5400" max="5632" width="9.21875" style="5"/>
    <col min="5633" max="5633" width="7.5546875" style="5" customWidth="1"/>
    <col min="5634" max="5634" width="14.21875" style="5" customWidth="1"/>
    <col min="5635" max="5635" width="23.21875" style="5" customWidth="1"/>
    <col min="5636" max="5636" width="21.109375" style="5" customWidth="1"/>
    <col min="5637" max="5638" width="0" style="5" hidden="1" customWidth="1"/>
    <col min="5639" max="5639" width="11.5546875" style="5" customWidth="1"/>
    <col min="5640" max="5640" width="12.77734375" style="5" customWidth="1"/>
    <col min="5641" max="5641" width="9.77734375" style="5" customWidth="1"/>
    <col min="5642" max="5642" width="10.77734375" style="5" customWidth="1"/>
    <col min="5643" max="5643" width="11.44140625" style="5" customWidth="1"/>
    <col min="5644" max="5644" width="11" style="5" customWidth="1"/>
    <col min="5645" max="5645" width="12.5546875" style="5" bestFit="1" customWidth="1"/>
    <col min="5646" max="5646" width="8.5546875" style="5" customWidth="1"/>
    <col min="5647" max="5647" width="10.77734375" style="5" bestFit="1" customWidth="1"/>
    <col min="5648" max="5648" width="11.21875" style="5" customWidth="1"/>
    <col min="5649" max="5649" width="10.77734375" style="5" bestFit="1" customWidth="1"/>
    <col min="5650" max="5650" width="8.5546875" style="5" customWidth="1"/>
    <col min="5651" max="5651" width="10.44140625" style="5" customWidth="1"/>
    <col min="5652" max="5652" width="13.21875" style="5" customWidth="1"/>
    <col min="5653" max="5653" width="17.21875" style="5" bestFit="1" customWidth="1"/>
    <col min="5654" max="5654" width="11.44140625" style="5" customWidth="1"/>
    <col min="5655" max="5655" width="18.5546875" style="5" customWidth="1"/>
    <col min="5656" max="5888" width="9.21875" style="5"/>
    <col min="5889" max="5889" width="7.5546875" style="5" customWidth="1"/>
    <col min="5890" max="5890" width="14.21875" style="5" customWidth="1"/>
    <col min="5891" max="5891" width="23.21875" style="5" customWidth="1"/>
    <col min="5892" max="5892" width="21.109375" style="5" customWidth="1"/>
    <col min="5893" max="5894" width="0" style="5" hidden="1" customWidth="1"/>
    <col min="5895" max="5895" width="11.5546875" style="5" customWidth="1"/>
    <col min="5896" max="5896" width="12.77734375" style="5" customWidth="1"/>
    <col min="5897" max="5897" width="9.77734375" style="5" customWidth="1"/>
    <col min="5898" max="5898" width="10.77734375" style="5" customWidth="1"/>
    <col min="5899" max="5899" width="11.44140625" style="5" customWidth="1"/>
    <col min="5900" max="5900" width="11" style="5" customWidth="1"/>
    <col min="5901" max="5901" width="12.5546875" style="5" bestFit="1" customWidth="1"/>
    <col min="5902" max="5902" width="8.5546875" style="5" customWidth="1"/>
    <col min="5903" max="5903" width="10.77734375" style="5" bestFit="1" customWidth="1"/>
    <col min="5904" max="5904" width="11.21875" style="5" customWidth="1"/>
    <col min="5905" max="5905" width="10.77734375" style="5" bestFit="1" customWidth="1"/>
    <col min="5906" max="5906" width="8.5546875" style="5" customWidth="1"/>
    <col min="5907" max="5907" width="10.44140625" style="5" customWidth="1"/>
    <col min="5908" max="5908" width="13.21875" style="5" customWidth="1"/>
    <col min="5909" max="5909" width="17.21875" style="5" bestFit="1" customWidth="1"/>
    <col min="5910" max="5910" width="11.44140625" style="5" customWidth="1"/>
    <col min="5911" max="5911" width="18.5546875" style="5" customWidth="1"/>
    <col min="5912" max="6144" width="9.21875" style="5"/>
    <col min="6145" max="6145" width="7.5546875" style="5" customWidth="1"/>
    <col min="6146" max="6146" width="14.21875" style="5" customWidth="1"/>
    <col min="6147" max="6147" width="23.21875" style="5" customWidth="1"/>
    <col min="6148" max="6148" width="21.109375" style="5" customWidth="1"/>
    <col min="6149" max="6150" width="0" style="5" hidden="1" customWidth="1"/>
    <col min="6151" max="6151" width="11.5546875" style="5" customWidth="1"/>
    <col min="6152" max="6152" width="12.77734375" style="5" customWidth="1"/>
    <col min="6153" max="6153" width="9.77734375" style="5" customWidth="1"/>
    <col min="6154" max="6154" width="10.77734375" style="5" customWidth="1"/>
    <col min="6155" max="6155" width="11.44140625" style="5" customWidth="1"/>
    <col min="6156" max="6156" width="11" style="5" customWidth="1"/>
    <col min="6157" max="6157" width="12.5546875" style="5" bestFit="1" customWidth="1"/>
    <col min="6158" max="6158" width="8.5546875" style="5" customWidth="1"/>
    <col min="6159" max="6159" width="10.77734375" style="5" bestFit="1" customWidth="1"/>
    <col min="6160" max="6160" width="11.21875" style="5" customWidth="1"/>
    <col min="6161" max="6161" width="10.77734375" style="5" bestFit="1" customWidth="1"/>
    <col min="6162" max="6162" width="8.5546875" style="5" customWidth="1"/>
    <col min="6163" max="6163" width="10.44140625" style="5" customWidth="1"/>
    <col min="6164" max="6164" width="13.21875" style="5" customWidth="1"/>
    <col min="6165" max="6165" width="17.21875" style="5" bestFit="1" customWidth="1"/>
    <col min="6166" max="6166" width="11.44140625" style="5" customWidth="1"/>
    <col min="6167" max="6167" width="18.5546875" style="5" customWidth="1"/>
    <col min="6168" max="6400" width="9.21875" style="5"/>
    <col min="6401" max="6401" width="7.5546875" style="5" customWidth="1"/>
    <col min="6402" max="6402" width="14.21875" style="5" customWidth="1"/>
    <col min="6403" max="6403" width="23.21875" style="5" customWidth="1"/>
    <col min="6404" max="6404" width="21.109375" style="5" customWidth="1"/>
    <col min="6405" max="6406" width="0" style="5" hidden="1" customWidth="1"/>
    <col min="6407" max="6407" width="11.5546875" style="5" customWidth="1"/>
    <col min="6408" max="6408" width="12.77734375" style="5" customWidth="1"/>
    <col min="6409" max="6409" width="9.77734375" style="5" customWidth="1"/>
    <col min="6410" max="6410" width="10.77734375" style="5" customWidth="1"/>
    <col min="6411" max="6411" width="11.44140625" style="5" customWidth="1"/>
    <col min="6412" max="6412" width="11" style="5" customWidth="1"/>
    <col min="6413" max="6413" width="12.5546875" style="5" bestFit="1" customWidth="1"/>
    <col min="6414" max="6414" width="8.5546875" style="5" customWidth="1"/>
    <col min="6415" max="6415" width="10.77734375" style="5" bestFit="1" customWidth="1"/>
    <col min="6416" max="6416" width="11.21875" style="5" customWidth="1"/>
    <col min="6417" max="6417" width="10.77734375" style="5" bestFit="1" customWidth="1"/>
    <col min="6418" max="6418" width="8.5546875" style="5" customWidth="1"/>
    <col min="6419" max="6419" width="10.44140625" style="5" customWidth="1"/>
    <col min="6420" max="6420" width="13.21875" style="5" customWidth="1"/>
    <col min="6421" max="6421" width="17.21875" style="5" bestFit="1" customWidth="1"/>
    <col min="6422" max="6422" width="11.44140625" style="5" customWidth="1"/>
    <col min="6423" max="6423" width="18.5546875" style="5" customWidth="1"/>
    <col min="6424" max="6656" width="9.21875" style="5"/>
    <col min="6657" max="6657" width="7.5546875" style="5" customWidth="1"/>
    <col min="6658" max="6658" width="14.21875" style="5" customWidth="1"/>
    <col min="6659" max="6659" width="23.21875" style="5" customWidth="1"/>
    <col min="6660" max="6660" width="21.109375" style="5" customWidth="1"/>
    <col min="6661" max="6662" width="0" style="5" hidden="1" customWidth="1"/>
    <col min="6663" max="6663" width="11.5546875" style="5" customWidth="1"/>
    <col min="6664" max="6664" width="12.77734375" style="5" customWidth="1"/>
    <col min="6665" max="6665" width="9.77734375" style="5" customWidth="1"/>
    <col min="6666" max="6666" width="10.77734375" style="5" customWidth="1"/>
    <col min="6667" max="6667" width="11.44140625" style="5" customWidth="1"/>
    <col min="6668" max="6668" width="11" style="5" customWidth="1"/>
    <col min="6669" max="6669" width="12.5546875" style="5" bestFit="1" customWidth="1"/>
    <col min="6670" max="6670" width="8.5546875" style="5" customWidth="1"/>
    <col min="6671" max="6671" width="10.77734375" style="5" bestFit="1" customWidth="1"/>
    <col min="6672" max="6672" width="11.21875" style="5" customWidth="1"/>
    <col min="6673" max="6673" width="10.77734375" style="5" bestFit="1" customWidth="1"/>
    <col min="6674" max="6674" width="8.5546875" style="5" customWidth="1"/>
    <col min="6675" max="6675" width="10.44140625" style="5" customWidth="1"/>
    <col min="6676" max="6676" width="13.21875" style="5" customWidth="1"/>
    <col min="6677" max="6677" width="17.21875" style="5" bestFit="1" customWidth="1"/>
    <col min="6678" max="6678" width="11.44140625" style="5" customWidth="1"/>
    <col min="6679" max="6679" width="18.5546875" style="5" customWidth="1"/>
    <col min="6680" max="6912" width="9.21875" style="5"/>
    <col min="6913" max="6913" width="7.5546875" style="5" customWidth="1"/>
    <col min="6914" max="6914" width="14.21875" style="5" customWidth="1"/>
    <col min="6915" max="6915" width="23.21875" style="5" customWidth="1"/>
    <col min="6916" max="6916" width="21.109375" style="5" customWidth="1"/>
    <col min="6917" max="6918" width="0" style="5" hidden="1" customWidth="1"/>
    <col min="6919" max="6919" width="11.5546875" style="5" customWidth="1"/>
    <col min="6920" max="6920" width="12.77734375" style="5" customWidth="1"/>
    <col min="6921" max="6921" width="9.77734375" style="5" customWidth="1"/>
    <col min="6922" max="6922" width="10.77734375" style="5" customWidth="1"/>
    <col min="6923" max="6923" width="11.44140625" style="5" customWidth="1"/>
    <col min="6924" max="6924" width="11" style="5" customWidth="1"/>
    <col min="6925" max="6925" width="12.5546875" style="5" bestFit="1" customWidth="1"/>
    <col min="6926" max="6926" width="8.5546875" style="5" customWidth="1"/>
    <col min="6927" max="6927" width="10.77734375" style="5" bestFit="1" customWidth="1"/>
    <col min="6928" max="6928" width="11.21875" style="5" customWidth="1"/>
    <col min="6929" max="6929" width="10.77734375" style="5" bestFit="1" customWidth="1"/>
    <col min="6930" max="6930" width="8.5546875" style="5" customWidth="1"/>
    <col min="6931" max="6931" width="10.44140625" style="5" customWidth="1"/>
    <col min="6932" max="6932" width="13.21875" style="5" customWidth="1"/>
    <col min="6933" max="6933" width="17.21875" style="5" bestFit="1" customWidth="1"/>
    <col min="6934" max="6934" width="11.44140625" style="5" customWidth="1"/>
    <col min="6935" max="6935" width="18.5546875" style="5" customWidth="1"/>
    <col min="6936" max="7168" width="9.21875" style="5"/>
    <col min="7169" max="7169" width="7.5546875" style="5" customWidth="1"/>
    <col min="7170" max="7170" width="14.21875" style="5" customWidth="1"/>
    <col min="7171" max="7171" width="23.21875" style="5" customWidth="1"/>
    <col min="7172" max="7172" width="21.109375" style="5" customWidth="1"/>
    <col min="7173" max="7174" width="0" style="5" hidden="1" customWidth="1"/>
    <col min="7175" max="7175" width="11.5546875" style="5" customWidth="1"/>
    <col min="7176" max="7176" width="12.77734375" style="5" customWidth="1"/>
    <col min="7177" max="7177" width="9.77734375" style="5" customWidth="1"/>
    <col min="7178" max="7178" width="10.77734375" style="5" customWidth="1"/>
    <col min="7179" max="7179" width="11.44140625" style="5" customWidth="1"/>
    <col min="7180" max="7180" width="11" style="5" customWidth="1"/>
    <col min="7181" max="7181" width="12.5546875" style="5" bestFit="1" customWidth="1"/>
    <col min="7182" max="7182" width="8.5546875" style="5" customWidth="1"/>
    <col min="7183" max="7183" width="10.77734375" style="5" bestFit="1" customWidth="1"/>
    <col min="7184" max="7184" width="11.21875" style="5" customWidth="1"/>
    <col min="7185" max="7185" width="10.77734375" style="5" bestFit="1" customWidth="1"/>
    <col min="7186" max="7186" width="8.5546875" style="5" customWidth="1"/>
    <col min="7187" max="7187" width="10.44140625" style="5" customWidth="1"/>
    <col min="7188" max="7188" width="13.21875" style="5" customWidth="1"/>
    <col min="7189" max="7189" width="17.21875" style="5" bestFit="1" customWidth="1"/>
    <col min="7190" max="7190" width="11.44140625" style="5" customWidth="1"/>
    <col min="7191" max="7191" width="18.5546875" style="5" customWidth="1"/>
    <col min="7192" max="7424" width="9.21875" style="5"/>
    <col min="7425" max="7425" width="7.5546875" style="5" customWidth="1"/>
    <col min="7426" max="7426" width="14.21875" style="5" customWidth="1"/>
    <col min="7427" max="7427" width="23.21875" style="5" customWidth="1"/>
    <col min="7428" max="7428" width="21.109375" style="5" customWidth="1"/>
    <col min="7429" max="7430" width="0" style="5" hidden="1" customWidth="1"/>
    <col min="7431" max="7431" width="11.5546875" style="5" customWidth="1"/>
    <col min="7432" max="7432" width="12.77734375" style="5" customWidth="1"/>
    <col min="7433" max="7433" width="9.77734375" style="5" customWidth="1"/>
    <col min="7434" max="7434" width="10.77734375" style="5" customWidth="1"/>
    <col min="7435" max="7435" width="11.44140625" style="5" customWidth="1"/>
    <col min="7436" max="7436" width="11" style="5" customWidth="1"/>
    <col min="7437" max="7437" width="12.5546875" style="5" bestFit="1" customWidth="1"/>
    <col min="7438" max="7438" width="8.5546875" style="5" customWidth="1"/>
    <col min="7439" max="7439" width="10.77734375" style="5" bestFit="1" customWidth="1"/>
    <col min="7440" max="7440" width="11.21875" style="5" customWidth="1"/>
    <col min="7441" max="7441" width="10.77734375" style="5" bestFit="1" customWidth="1"/>
    <col min="7442" max="7442" width="8.5546875" style="5" customWidth="1"/>
    <col min="7443" max="7443" width="10.44140625" style="5" customWidth="1"/>
    <col min="7444" max="7444" width="13.21875" style="5" customWidth="1"/>
    <col min="7445" max="7445" width="17.21875" style="5" bestFit="1" customWidth="1"/>
    <col min="7446" max="7446" width="11.44140625" style="5" customWidth="1"/>
    <col min="7447" max="7447" width="18.5546875" style="5" customWidth="1"/>
    <col min="7448" max="7680" width="9.21875" style="5"/>
    <col min="7681" max="7681" width="7.5546875" style="5" customWidth="1"/>
    <col min="7682" max="7682" width="14.21875" style="5" customWidth="1"/>
    <col min="7683" max="7683" width="23.21875" style="5" customWidth="1"/>
    <col min="7684" max="7684" width="21.109375" style="5" customWidth="1"/>
    <col min="7685" max="7686" width="0" style="5" hidden="1" customWidth="1"/>
    <col min="7687" max="7687" width="11.5546875" style="5" customWidth="1"/>
    <col min="7688" max="7688" width="12.77734375" style="5" customWidth="1"/>
    <col min="7689" max="7689" width="9.77734375" style="5" customWidth="1"/>
    <col min="7690" max="7690" width="10.77734375" style="5" customWidth="1"/>
    <col min="7691" max="7691" width="11.44140625" style="5" customWidth="1"/>
    <col min="7692" max="7692" width="11" style="5" customWidth="1"/>
    <col min="7693" max="7693" width="12.5546875" style="5" bestFit="1" customWidth="1"/>
    <col min="7694" max="7694" width="8.5546875" style="5" customWidth="1"/>
    <col min="7695" max="7695" width="10.77734375" style="5" bestFit="1" customWidth="1"/>
    <col min="7696" max="7696" width="11.21875" style="5" customWidth="1"/>
    <col min="7697" max="7697" width="10.77734375" style="5" bestFit="1" customWidth="1"/>
    <col min="7698" max="7698" width="8.5546875" style="5" customWidth="1"/>
    <col min="7699" max="7699" width="10.44140625" style="5" customWidth="1"/>
    <col min="7700" max="7700" width="13.21875" style="5" customWidth="1"/>
    <col min="7701" max="7701" width="17.21875" style="5" bestFit="1" customWidth="1"/>
    <col min="7702" max="7702" width="11.44140625" style="5" customWidth="1"/>
    <col min="7703" max="7703" width="18.5546875" style="5" customWidth="1"/>
    <col min="7704" max="7936" width="9.21875" style="5"/>
    <col min="7937" max="7937" width="7.5546875" style="5" customWidth="1"/>
    <col min="7938" max="7938" width="14.21875" style="5" customWidth="1"/>
    <col min="7939" max="7939" width="23.21875" style="5" customWidth="1"/>
    <col min="7940" max="7940" width="21.109375" style="5" customWidth="1"/>
    <col min="7941" max="7942" width="0" style="5" hidden="1" customWidth="1"/>
    <col min="7943" max="7943" width="11.5546875" style="5" customWidth="1"/>
    <col min="7944" max="7944" width="12.77734375" style="5" customWidth="1"/>
    <col min="7945" max="7945" width="9.77734375" style="5" customWidth="1"/>
    <col min="7946" max="7946" width="10.77734375" style="5" customWidth="1"/>
    <col min="7947" max="7947" width="11.44140625" style="5" customWidth="1"/>
    <col min="7948" max="7948" width="11" style="5" customWidth="1"/>
    <col min="7949" max="7949" width="12.5546875" style="5" bestFit="1" customWidth="1"/>
    <col min="7950" max="7950" width="8.5546875" style="5" customWidth="1"/>
    <col min="7951" max="7951" width="10.77734375" style="5" bestFit="1" customWidth="1"/>
    <col min="7952" max="7952" width="11.21875" style="5" customWidth="1"/>
    <col min="7953" max="7953" width="10.77734375" style="5" bestFit="1" customWidth="1"/>
    <col min="7954" max="7954" width="8.5546875" style="5" customWidth="1"/>
    <col min="7955" max="7955" width="10.44140625" style="5" customWidth="1"/>
    <col min="7956" max="7956" width="13.21875" style="5" customWidth="1"/>
    <col min="7957" max="7957" width="17.21875" style="5" bestFit="1" customWidth="1"/>
    <col min="7958" max="7958" width="11.44140625" style="5" customWidth="1"/>
    <col min="7959" max="7959" width="18.5546875" style="5" customWidth="1"/>
    <col min="7960" max="8192" width="9.21875" style="5"/>
    <col min="8193" max="8193" width="7.5546875" style="5" customWidth="1"/>
    <col min="8194" max="8194" width="14.21875" style="5" customWidth="1"/>
    <col min="8195" max="8195" width="23.21875" style="5" customWidth="1"/>
    <col min="8196" max="8196" width="21.109375" style="5" customWidth="1"/>
    <col min="8197" max="8198" width="0" style="5" hidden="1" customWidth="1"/>
    <col min="8199" max="8199" width="11.5546875" style="5" customWidth="1"/>
    <col min="8200" max="8200" width="12.77734375" style="5" customWidth="1"/>
    <col min="8201" max="8201" width="9.77734375" style="5" customWidth="1"/>
    <col min="8202" max="8202" width="10.77734375" style="5" customWidth="1"/>
    <col min="8203" max="8203" width="11.44140625" style="5" customWidth="1"/>
    <col min="8204" max="8204" width="11" style="5" customWidth="1"/>
    <col min="8205" max="8205" width="12.5546875" style="5" bestFit="1" customWidth="1"/>
    <col min="8206" max="8206" width="8.5546875" style="5" customWidth="1"/>
    <col min="8207" max="8207" width="10.77734375" style="5" bestFit="1" customWidth="1"/>
    <col min="8208" max="8208" width="11.21875" style="5" customWidth="1"/>
    <col min="8209" max="8209" width="10.77734375" style="5" bestFit="1" customWidth="1"/>
    <col min="8210" max="8210" width="8.5546875" style="5" customWidth="1"/>
    <col min="8211" max="8211" width="10.44140625" style="5" customWidth="1"/>
    <col min="8212" max="8212" width="13.21875" style="5" customWidth="1"/>
    <col min="8213" max="8213" width="17.21875" style="5" bestFit="1" customWidth="1"/>
    <col min="8214" max="8214" width="11.44140625" style="5" customWidth="1"/>
    <col min="8215" max="8215" width="18.5546875" style="5" customWidth="1"/>
    <col min="8216" max="8448" width="9.21875" style="5"/>
    <col min="8449" max="8449" width="7.5546875" style="5" customWidth="1"/>
    <col min="8450" max="8450" width="14.21875" style="5" customWidth="1"/>
    <col min="8451" max="8451" width="23.21875" style="5" customWidth="1"/>
    <col min="8452" max="8452" width="21.109375" style="5" customWidth="1"/>
    <col min="8453" max="8454" width="0" style="5" hidden="1" customWidth="1"/>
    <col min="8455" max="8455" width="11.5546875" style="5" customWidth="1"/>
    <col min="8456" max="8456" width="12.77734375" style="5" customWidth="1"/>
    <col min="8457" max="8457" width="9.77734375" style="5" customWidth="1"/>
    <col min="8458" max="8458" width="10.77734375" style="5" customWidth="1"/>
    <col min="8459" max="8459" width="11.44140625" style="5" customWidth="1"/>
    <col min="8460" max="8460" width="11" style="5" customWidth="1"/>
    <col min="8461" max="8461" width="12.5546875" style="5" bestFit="1" customWidth="1"/>
    <col min="8462" max="8462" width="8.5546875" style="5" customWidth="1"/>
    <col min="8463" max="8463" width="10.77734375" style="5" bestFit="1" customWidth="1"/>
    <col min="8464" max="8464" width="11.21875" style="5" customWidth="1"/>
    <col min="8465" max="8465" width="10.77734375" style="5" bestFit="1" customWidth="1"/>
    <col min="8466" max="8466" width="8.5546875" style="5" customWidth="1"/>
    <col min="8467" max="8467" width="10.44140625" style="5" customWidth="1"/>
    <col min="8468" max="8468" width="13.21875" style="5" customWidth="1"/>
    <col min="8469" max="8469" width="17.21875" style="5" bestFit="1" customWidth="1"/>
    <col min="8470" max="8470" width="11.44140625" style="5" customWidth="1"/>
    <col min="8471" max="8471" width="18.5546875" style="5" customWidth="1"/>
    <col min="8472" max="8704" width="9.21875" style="5"/>
    <col min="8705" max="8705" width="7.5546875" style="5" customWidth="1"/>
    <col min="8706" max="8706" width="14.21875" style="5" customWidth="1"/>
    <col min="8707" max="8707" width="23.21875" style="5" customWidth="1"/>
    <col min="8708" max="8708" width="21.109375" style="5" customWidth="1"/>
    <col min="8709" max="8710" width="0" style="5" hidden="1" customWidth="1"/>
    <col min="8711" max="8711" width="11.5546875" style="5" customWidth="1"/>
    <col min="8712" max="8712" width="12.77734375" style="5" customWidth="1"/>
    <col min="8713" max="8713" width="9.77734375" style="5" customWidth="1"/>
    <col min="8714" max="8714" width="10.77734375" style="5" customWidth="1"/>
    <col min="8715" max="8715" width="11.44140625" style="5" customWidth="1"/>
    <col min="8716" max="8716" width="11" style="5" customWidth="1"/>
    <col min="8717" max="8717" width="12.5546875" style="5" bestFit="1" customWidth="1"/>
    <col min="8718" max="8718" width="8.5546875" style="5" customWidth="1"/>
    <col min="8719" max="8719" width="10.77734375" style="5" bestFit="1" customWidth="1"/>
    <col min="8720" max="8720" width="11.21875" style="5" customWidth="1"/>
    <col min="8721" max="8721" width="10.77734375" style="5" bestFit="1" customWidth="1"/>
    <col min="8722" max="8722" width="8.5546875" style="5" customWidth="1"/>
    <col min="8723" max="8723" width="10.44140625" style="5" customWidth="1"/>
    <col min="8724" max="8724" width="13.21875" style="5" customWidth="1"/>
    <col min="8725" max="8725" width="17.21875" style="5" bestFit="1" customWidth="1"/>
    <col min="8726" max="8726" width="11.44140625" style="5" customWidth="1"/>
    <col min="8727" max="8727" width="18.5546875" style="5" customWidth="1"/>
    <col min="8728" max="8960" width="9.21875" style="5"/>
    <col min="8961" max="8961" width="7.5546875" style="5" customWidth="1"/>
    <col min="8962" max="8962" width="14.21875" style="5" customWidth="1"/>
    <col min="8963" max="8963" width="23.21875" style="5" customWidth="1"/>
    <col min="8964" max="8964" width="21.109375" style="5" customWidth="1"/>
    <col min="8965" max="8966" width="0" style="5" hidden="1" customWidth="1"/>
    <col min="8967" max="8967" width="11.5546875" style="5" customWidth="1"/>
    <col min="8968" max="8968" width="12.77734375" style="5" customWidth="1"/>
    <col min="8969" max="8969" width="9.77734375" style="5" customWidth="1"/>
    <col min="8970" max="8970" width="10.77734375" style="5" customWidth="1"/>
    <col min="8971" max="8971" width="11.44140625" style="5" customWidth="1"/>
    <col min="8972" max="8972" width="11" style="5" customWidth="1"/>
    <col min="8973" max="8973" width="12.5546875" style="5" bestFit="1" customWidth="1"/>
    <col min="8974" max="8974" width="8.5546875" style="5" customWidth="1"/>
    <col min="8975" max="8975" width="10.77734375" style="5" bestFit="1" customWidth="1"/>
    <col min="8976" max="8976" width="11.21875" style="5" customWidth="1"/>
    <col min="8977" max="8977" width="10.77734375" style="5" bestFit="1" customWidth="1"/>
    <col min="8978" max="8978" width="8.5546875" style="5" customWidth="1"/>
    <col min="8979" max="8979" width="10.44140625" style="5" customWidth="1"/>
    <col min="8980" max="8980" width="13.21875" style="5" customWidth="1"/>
    <col min="8981" max="8981" width="17.21875" style="5" bestFit="1" customWidth="1"/>
    <col min="8982" max="8982" width="11.44140625" style="5" customWidth="1"/>
    <col min="8983" max="8983" width="18.5546875" style="5" customWidth="1"/>
    <col min="8984" max="9216" width="9.21875" style="5"/>
    <col min="9217" max="9217" width="7.5546875" style="5" customWidth="1"/>
    <col min="9218" max="9218" width="14.21875" style="5" customWidth="1"/>
    <col min="9219" max="9219" width="23.21875" style="5" customWidth="1"/>
    <col min="9220" max="9220" width="21.109375" style="5" customWidth="1"/>
    <col min="9221" max="9222" width="0" style="5" hidden="1" customWidth="1"/>
    <col min="9223" max="9223" width="11.5546875" style="5" customWidth="1"/>
    <col min="9224" max="9224" width="12.77734375" style="5" customWidth="1"/>
    <col min="9225" max="9225" width="9.77734375" style="5" customWidth="1"/>
    <col min="9226" max="9226" width="10.77734375" style="5" customWidth="1"/>
    <col min="9227" max="9227" width="11.44140625" style="5" customWidth="1"/>
    <col min="9228" max="9228" width="11" style="5" customWidth="1"/>
    <col min="9229" max="9229" width="12.5546875" style="5" bestFit="1" customWidth="1"/>
    <col min="9230" max="9230" width="8.5546875" style="5" customWidth="1"/>
    <col min="9231" max="9231" width="10.77734375" style="5" bestFit="1" customWidth="1"/>
    <col min="9232" max="9232" width="11.21875" style="5" customWidth="1"/>
    <col min="9233" max="9233" width="10.77734375" style="5" bestFit="1" customWidth="1"/>
    <col min="9234" max="9234" width="8.5546875" style="5" customWidth="1"/>
    <col min="9235" max="9235" width="10.44140625" style="5" customWidth="1"/>
    <col min="9236" max="9236" width="13.21875" style="5" customWidth="1"/>
    <col min="9237" max="9237" width="17.21875" style="5" bestFit="1" customWidth="1"/>
    <col min="9238" max="9238" width="11.44140625" style="5" customWidth="1"/>
    <col min="9239" max="9239" width="18.5546875" style="5" customWidth="1"/>
    <col min="9240" max="9472" width="9.21875" style="5"/>
    <col min="9473" max="9473" width="7.5546875" style="5" customWidth="1"/>
    <col min="9474" max="9474" width="14.21875" style="5" customWidth="1"/>
    <col min="9475" max="9475" width="23.21875" style="5" customWidth="1"/>
    <col min="9476" max="9476" width="21.109375" style="5" customWidth="1"/>
    <col min="9477" max="9478" width="0" style="5" hidden="1" customWidth="1"/>
    <col min="9479" max="9479" width="11.5546875" style="5" customWidth="1"/>
    <col min="9480" max="9480" width="12.77734375" style="5" customWidth="1"/>
    <col min="9481" max="9481" width="9.77734375" style="5" customWidth="1"/>
    <col min="9482" max="9482" width="10.77734375" style="5" customWidth="1"/>
    <col min="9483" max="9483" width="11.44140625" style="5" customWidth="1"/>
    <col min="9484" max="9484" width="11" style="5" customWidth="1"/>
    <col min="9485" max="9485" width="12.5546875" style="5" bestFit="1" customWidth="1"/>
    <col min="9486" max="9486" width="8.5546875" style="5" customWidth="1"/>
    <col min="9487" max="9487" width="10.77734375" style="5" bestFit="1" customWidth="1"/>
    <col min="9488" max="9488" width="11.21875" style="5" customWidth="1"/>
    <col min="9489" max="9489" width="10.77734375" style="5" bestFit="1" customWidth="1"/>
    <col min="9490" max="9490" width="8.5546875" style="5" customWidth="1"/>
    <col min="9491" max="9491" width="10.44140625" style="5" customWidth="1"/>
    <col min="9492" max="9492" width="13.21875" style="5" customWidth="1"/>
    <col min="9493" max="9493" width="17.21875" style="5" bestFit="1" customWidth="1"/>
    <col min="9494" max="9494" width="11.44140625" style="5" customWidth="1"/>
    <col min="9495" max="9495" width="18.5546875" style="5" customWidth="1"/>
    <col min="9496" max="9728" width="9.21875" style="5"/>
    <col min="9729" max="9729" width="7.5546875" style="5" customWidth="1"/>
    <col min="9730" max="9730" width="14.21875" style="5" customWidth="1"/>
    <col min="9731" max="9731" width="23.21875" style="5" customWidth="1"/>
    <col min="9732" max="9732" width="21.109375" style="5" customWidth="1"/>
    <col min="9733" max="9734" width="0" style="5" hidden="1" customWidth="1"/>
    <col min="9735" max="9735" width="11.5546875" style="5" customWidth="1"/>
    <col min="9736" max="9736" width="12.77734375" style="5" customWidth="1"/>
    <col min="9737" max="9737" width="9.77734375" style="5" customWidth="1"/>
    <col min="9738" max="9738" width="10.77734375" style="5" customWidth="1"/>
    <col min="9739" max="9739" width="11.44140625" style="5" customWidth="1"/>
    <col min="9740" max="9740" width="11" style="5" customWidth="1"/>
    <col min="9741" max="9741" width="12.5546875" style="5" bestFit="1" customWidth="1"/>
    <col min="9742" max="9742" width="8.5546875" style="5" customWidth="1"/>
    <col min="9743" max="9743" width="10.77734375" style="5" bestFit="1" customWidth="1"/>
    <col min="9744" max="9744" width="11.21875" style="5" customWidth="1"/>
    <col min="9745" max="9745" width="10.77734375" style="5" bestFit="1" customWidth="1"/>
    <col min="9746" max="9746" width="8.5546875" style="5" customWidth="1"/>
    <col min="9747" max="9747" width="10.44140625" style="5" customWidth="1"/>
    <col min="9748" max="9748" width="13.21875" style="5" customWidth="1"/>
    <col min="9749" max="9749" width="17.21875" style="5" bestFit="1" customWidth="1"/>
    <col min="9750" max="9750" width="11.44140625" style="5" customWidth="1"/>
    <col min="9751" max="9751" width="18.5546875" style="5" customWidth="1"/>
    <col min="9752" max="9984" width="9.21875" style="5"/>
    <col min="9985" max="9985" width="7.5546875" style="5" customWidth="1"/>
    <col min="9986" max="9986" width="14.21875" style="5" customWidth="1"/>
    <col min="9987" max="9987" width="23.21875" style="5" customWidth="1"/>
    <col min="9988" max="9988" width="21.109375" style="5" customWidth="1"/>
    <col min="9989" max="9990" width="0" style="5" hidden="1" customWidth="1"/>
    <col min="9991" max="9991" width="11.5546875" style="5" customWidth="1"/>
    <col min="9992" max="9992" width="12.77734375" style="5" customWidth="1"/>
    <col min="9993" max="9993" width="9.77734375" style="5" customWidth="1"/>
    <col min="9994" max="9994" width="10.77734375" style="5" customWidth="1"/>
    <col min="9995" max="9995" width="11.44140625" style="5" customWidth="1"/>
    <col min="9996" max="9996" width="11" style="5" customWidth="1"/>
    <col min="9997" max="9997" width="12.5546875" style="5" bestFit="1" customWidth="1"/>
    <col min="9998" max="9998" width="8.5546875" style="5" customWidth="1"/>
    <col min="9999" max="9999" width="10.77734375" style="5" bestFit="1" customWidth="1"/>
    <col min="10000" max="10000" width="11.21875" style="5" customWidth="1"/>
    <col min="10001" max="10001" width="10.77734375" style="5" bestFit="1" customWidth="1"/>
    <col min="10002" max="10002" width="8.5546875" style="5" customWidth="1"/>
    <col min="10003" max="10003" width="10.44140625" style="5" customWidth="1"/>
    <col min="10004" max="10004" width="13.21875" style="5" customWidth="1"/>
    <col min="10005" max="10005" width="17.21875" style="5" bestFit="1" customWidth="1"/>
    <col min="10006" max="10006" width="11.44140625" style="5" customWidth="1"/>
    <col min="10007" max="10007" width="18.5546875" style="5" customWidth="1"/>
    <col min="10008" max="10240" width="9.21875" style="5"/>
    <col min="10241" max="10241" width="7.5546875" style="5" customWidth="1"/>
    <col min="10242" max="10242" width="14.21875" style="5" customWidth="1"/>
    <col min="10243" max="10243" width="23.21875" style="5" customWidth="1"/>
    <col min="10244" max="10244" width="21.109375" style="5" customWidth="1"/>
    <col min="10245" max="10246" width="0" style="5" hidden="1" customWidth="1"/>
    <col min="10247" max="10247" width="11.5546875" style="5" customWidth="1"/>
    <col min="10248" max="10248" width="12.77734375" style="5" customWidth="1"/>
    <col min="10249" max="10249" width="9.77734375" style="5" customWidth="1"/>
    <col min="10250" max="10250" width="10.77734375" style="5" customWidth="1"/>
    <col min="10251" max="10251" width="11.44140625" style="5" customWidth="1"/>
    <col min="10252" max="10252" width="11" style="5" customWidth="1"/>
    <col min="10253" max="10253" width="12.5546875" style="5" bestFit="1" customWidth="1"/>
    <col min="10254" max="10254" width="8.5546875" style="5" customWidth="1"/>
    <col min="10255" max="10255" width="10.77734375" style="5" bestFit="1" customWidth="1"/>
    <col min="10256" max="10256" width="11.21875" style="5" customWidth="1"/>
    <col min="10257" max="10257" width="10.77734375" style="5" bestFit="1" customWidth="1"/>
    <col min="10258" max="10258" width="8.5546875" style="5" customWidth="1"/>
    <col min="10259" max="10259" width="10.44140625" style="5" customWidth="1"/>
    <col min="10260" max="10260" width="13.21875" style="5" customWidth="1"/>
    <col min="10261" max="10261" width="17.21875" style="5" bestFit="1" customWidth="1"/>
    <col min="10262" max="10262" width="11.44140625" style="5" customWidth="1"/>
    <col min="10263" max="10263" width="18.5546875" style="5" customWidth="1"/>
    <col min="10264" max="10496" width="9.21875" style="5"/>
    <col min="10497" max="10497" width="7.5546875" style="5" customWidth="1"/>
    <col min="10498" max="10498" width="14.21875" style="5" customWidth="1"/>
    <col min="10499" max="10499" width="23.21875" style="5" customWidth="1"/>
    <col min="10500" max="10500" width="21.109375" style="5" customWidth="1"/>
    <col min="10501" max="10502" width="0" style="5" hidden="1" customWidth="1"/>
    <col min="10503" max="10503" width="11.5546875" style="5" customWidth="1"/>
    <col min="10504" max="10504" width="12.77734375" style="5" customWidth="1"/>
    <col min="10505" max="10505" width="9.77734375" style="5" customWidth="1"/>
    <col min="10506" max="10506" width="10.77734375" style="5" customWidth="1"/>
    <col min="10507" max="10507" width="11.44140625" style="5" customWidth="1"/>
    <col min="10508" max="10508" width="11" style="5" customWidth="1"/>
    <col min="10509" max="10509" width="12.5546875" style="5" bestFit="1" customWidth="1"/>
    <col min="10510" max="10510" width="8.5546875" style="5" customWidth="1"/>
    <col min="10511" max="10511" width="10.77734375" style="5" bestFit="1" customWidth="1"/>
    <col min="10512" max="10512" width="11.21875" style="5" customWidth="1"/>
    <col min="10513" max="10513" width="10.77734375" style="5" bestFit="1" customWidth="1"/>
    <col min="10514" max="10514" width="8.5546875" style="5" customWidth="1"/>
    <col min="10515" max="10515" width="10.44140625" style="5" customWidth="1"/>
    <col min="10516" max="10516" width="13.21875" style="5" customWidth="1"/>
    <col min="10517" max="10517" width="17.21875" style="5" bestFit="1" customWidth="1"/>
    <col min="10518" max="10518" width="11.44140625" style="5" customWidth="1"/>
    <col min="10519" max="10519" width="18.5546875" style="5" customWidth="1"/>
    <col min="10520" max="10752" width="9.21875" style="5"/>
    <col min="10753" max="10753" width="7.5546875" style="5" customWidth="1"/>
    <col min="10754" max="10754" width="14.21875" style="5" customWidth="1"/>
    <col min="10755" max="10755" width="23.21875" style="5" customWidth="1"/>
    <col min="10756" max="10756" width="21.109375" style="5" customWidth="1"/>
    <col min="10757" max="10758" width="0" style="5" hidden="1" customWidth="1"/>
    <col min="10759" max="10759" width="11.5546875" style="5" customWidth="1"/>
    <col min="10760" max="10760" width="12.77734375" style="5" customWidth="1"/>
    <col min="10761" max="10761" width="9.77734375" style="5" customWidth="1"/>
    <col min="10762" max="10762" width="10.77734375" style="5" customWidth="1"/>
    <col min="10763" max="10763" width="11.44140625" style="5" customWidth="1"/>
    <col min="10764" max="10764" width="11" style="5" customWidth="1"/>
    <col min="10765" max="10765" width="12.5546875" style="5" bestFit="1" customWidth="1"/>
    <col min="10766" max="10766" width="8.5546875" style="5" customWidth="1"/>
    <col min="10767" max="10767" width="10.77734375" style="5" bestFit="1" customWidth="1"/>
    <col min="10768" max="10768" width="11.21875" style="5" customWidth="1"/>
    <col min="10769" max="10769" width="10.77734375" style="5" bestFit="1" customWidth="1"/>
    <col min="10770" max="10770" width="8.5546875" style="5" customWidth="1"/>
    <col min="10771" max="10771" width="10.44140625" style="5" customWidth="1"/>
    <col min="10772" max="10772" width="13.21875" style="5" customWidth="1"/>
    <col min="10773" max="10773" width="17.21875" style="5" bestFit="1" customWidth="1"/>
    <col min="10774" max="10774" width="11.44140625" style="5" customWidth="1"/>
    <col min="10775" max="10775" width="18.5546875" style="5" customWidth="1"/>
    <col min="10776" max="11008" width="9.21875" style="5"/>
    <col min="11009" max="11009" width="7.5546875" style="5" customWidth="1"/>
    <col min="11010" max="11010" width="14.21875" style="5" customWidth="1"/>
    <col min="11011" max="11011" width="23.21875" style="5" customWidth="1"/>
    <col min="11012" max="11012" width="21.109375" style="5" customWidth="1"/>
    <col min="11013" max="11014" width="0" style="5" hidden="1" customWidth="1"/>
    <col min="11015" max="11015" width="11.5546875" style="5" customWidth="1"/>
    <col min="11016" max="11016" width="12.77734375" style="5" customWidth="1"/>
    <col min="11017" max="11017" width="9.77734375" style="5" customWidth="1"/>
    <col min="11018" max="11018" width="10.77734375" style="5" customWidth="1"/>
    <col min="11019" max="11019" width="11.44140625" style="5" customWidth="1"/>
    <col min="11020" max="11020" width="11" style="5" customWidth="1"/>
    <col min="11021" max="11021" width="12.5546875" style="5" bestFit="1" customWidth="1"/>
    <col min="11022" max="11022" width="8.5546875" style="5" customWidth="1"/>
    <col min="11023" max="11023" width="10.77734375" style="5" bestFit="1" customWidth="1"/>
    <col min="11024" max="11024" width="11.21875" style="5" customWidth="1"/>
    <col min="11025" max="11025" width="10.77734375" style="5" bestFit="1" customWidth="1"/>
    <col min="11026" max="11026" width="8.5546875" style="5" customWidth="1"/>
    <col min="11027" max="11027" width="10.44140625" style="5" customWidth="1"/>
    <col min="11028" max="11028" width="13.21875" style="5" customWidth="1"/>
    <col min="11029" max="11029" width="17.21875" style="5" bestFit="1" customWidth="1"/>
    <col min="11030" max="11030" width="11.44140625" style="5" customWidth="1"/>
    <col min="11031" max="11031" width="18.5546875" style="5" customWidth="1"/>
    <col min="11032" max="11264" width="9.21875" style="5"/>
    <col min="11265" max="11265" width="7.5546875" style="5" customWidth="1"/>
    <col min="11266" max="11266" width="14.21875" style="5" customWidth="1"/>
    <col min="11267" max="11267" width="23.21875" style="5" customWidth="1"/>
    <col min="11268" max="11268" width="21.109375" style="5" customWidth="1"/>
    <col min="11269" max="11270" width="0" style="5" hidden="1" customWidth="1"/>
    <col min="11271" max="11271" width="11.5546875" style="5" customWidth="1"/>
    <col min="11272" max="11272" width="12.77734375" style="5" customWidth="1"/>
    <col min="11273" max="11273" width="9.77734375" style="5" customWidth="1"/>
    <col min="11274" max="11274" width="10.77734375" style="5" customWidth="1"/>
    <col min="11275" max="11275" width="11.44140625" style="5" customWidth="1"/>
    <col min="11276" max="11276" width="11" style="5" customWidth="1"/>
    <col min="11277" max="11277" width="12.5546875" style="5" bestFit="1" customWidth="1"/>
    <col min="11278" max="11278" width="8.5546875" style="5" customWidth="1"/>
    <col min="11279" max="11279" width="10.77734375" style="5" bestFit="1" customWidth="1"/>
    <col min="11280" max="11280" width="11.21875" style="5" customWidth="1"/>
    <col min="11281" max="11281" width="10.77734375" style="5" bestFit="1" customWidth="1"/>
    <col min="11282" max="11282" width="8.5546875" style="5" customWidth="1"/>
    <col min="11283" max="11283" width="10.44140625" style="5" customWidth="1"/>
    <col min="11284" max="11284" width="13.21875" style="5" customWidth="1"/>
    <col min="11285" max="11285" width="17.21875" style="5" bestFit="1" customWidth="1"/>
    <col min="11286" max="11286" width="11.44140625" style="5" customWidth="1"/>
    <col min="11287" max="11287" width="18.5546875" style="5" customWidth="1"/>
    <col min="11288" max="11520" width="9.21875" style="5"/>
    <col min="11521" max="11521" width="7.5546875" style="5" customWidth="1"/>
    <col min="11522" max="11522" width="14.21875" style="5" customWidth="1"/>
    <col min="11523" max="11523" width="23.21875" style="5" customWidth="1"/>
    <col min="11524" max="11524" width="21.109375" style="5" customWidth="1"/>
    <col min="11525" max="11526" width="0" style="5" hidden="1" customWidth="1"/>
    <col min="11527" max="11527" width="11.5546875" style="5" customWidth="1"/>
    <col min="11528" max="11528" width="12.77734375" style="5" customWidth="1"/>
    <col min="11529" max="11529" width="9.77734375" style="5" customWidth="1"/>
    <col min="11530" max="11530" width="10.77734375" style="5" customWidth="1"/>
    <col min="11531" max="11531" width="11.44140625" style="5" customWidth="1"/>
    <col min="11532" max="11532" width="11" style="5" customWidth="1"/>
    <col min="11533" max="11533" width="12.5546875" style="5" bestFit="1" customWidth="1"/>
    <col min="11534" max="11534" width="8.5546875" style="5" customWidth="1"/>
    <col min="11535" max="11535" width="10.77734375" style="5" bestFit="1" customWidth="1"/>
    <col min="11536" max="11536" width="11.21875" style="5" customWidth="1"/>
    <col min="11537" max="11537" width="10.77734375" style="5" bestFit="1" customWidth="1"/>
    <col min="11538" max="11538" width="8.5546875" style="5" customWidth="1"/>
    <col min="11539" max="11539" width="10.44140625" style="5" customWidth="1"/>
    <col min="11540" max="11540" width="13.21875" style="5" customWidth="1"/>
    <col min="11541" max="11541" width="17.21875" style="5" bestFit="1" customWidth="1"/>
    <col min="11542" max="11542" width="11.44140625" style="5" customWidth="1"/>
    <col min="11543" max="11543" width="18.5546875" style="5" customWidth="1"/>
    <col min="11544" max="11776" width="9.21875" style="5"/>
    <col min="11777" max="11777" width="7.5546875" style="5" customWidth="1"/>
    <col min="11778" max="11778" width="14.21875" style="5" customWidth="1"/>
    <col min="11779" max="11779" width="23.21875" style="5" customWidth="1"/>
    <col min="11780" max="11780" width="21.109375" style="5" customWidth="1"/>
    <col min="11781" max="11782" width="0" style="5" hidden="1" customWidth="1"/>
    <col min="11783" max="11783" width="11.5546875" style="5" customWidth="1"/>
    <col min="11784" max="11784" width="12.77734375" style="5" customWidth="1"/>
    <col min="11785" max="11785" width="9.77734375" style="5" customWidth="1"/>
    <col min="11786" max="11786" width="10.77734375" style="5" customWidth="1"/>
    <col min="11787" max="11787" width="11.44140625" style="5" customWidth="1"/>
    <col min="11788" max="11788" width="11" style="5" customWidth="1"/>
    <col min="11789" max="11789" width="12.5546875" style="5" bestFit="1" customWidth="1"/>
    <col min="11790" max="11790" width="8.5546875" style="5" customWidth="1"/>
    <col min="11791" max="11791" width="10.77734375" style="5" bestFit="1" customWidth="1"/>
    <col min="11792" max="11792" width="11.21875" style="5" customWidth="1"/>
    <col min="11793" max="11793" width="10.77734375" style="5" bestFit="1" customWidth="1"/>
    <col min="11794" max="11794" width="8.5546875" style="5" customWidth="1"/>
    <col min="11795" max="11795" width="10.44140625" style="5" customWidth="1"/>
    <col min="11796" max="11796" width="13.21875" style="5" customWidth="1"/>
    <col min="11797" max="11797" width="17.21875" style="5" bestFit="1" customWidth="1"/>
    <col min="11798" max="11798" width="11.44140625" style="5" customWidth="1"/>
    <col min="11799" max="11799" width="18.5546875" style="5" customWidth="1"/>
    <col min="11800" max="12032" width="9.21875" style="5"/>
    <col min="12033" max="12033" width="7.5546875" style="5" customWidth="1"/>
    <col min="12034" max="12034" width="14.21875" style="5" customWidth="1"/>
    <col min="12035" max="12035" width="23.21875" style="5" customWidth="1"/>
    <col min="12036" max="12036" width="21.109375" style="5" customWidth="1"/>
    <col min="12037" max="12038" width="0" style="5" hidden="1" customWidth="1"/>
    <col min="12039" max="12039" width="11.5546875" style="5" customWidth="1"/>
    <col min="12040" max="12040" width="12.77734375" style="5" customWidth="1"/>
    <col min="12041" max="12041" width="9.77734375" style="5" customWidth="1"/>
    <col min="12042" max="12042" width="10.77734375" style="5" customWidth="1"/>
    <col min="12043" max="12043" width="11.44140625" style="5" customWidth="1"/>
    <col min="12044" max="12044" width="11" style="5" customWidth="1"/>
    <col min="12045" max="12045" width="12.5546875" style="5" bestFit="1" customWidth="1"/>
    <col min="12046" max="12046" width="8.5546875" style="5" customWidth="1"/>
    <col min="12047" max="12047" width="10.77734375" style="5" bestFit="1" customWidth="1"/>
    <col min="12048" max="12048" width="11.21875" style="5" customWidth="1"/>
    <col min="12049" max="12049" width="10.77734375" style="5" bestFit="1" customWidth="1"/>
    <col min="12050" max="12050" width="8.5546875" style="5" customWidth="1"/>
    <col min="12051" max="12051" width="10.44140625" style="5" customWidth="1"/>
    <col min="12052" max="12052" width="13.21875" style="5" customWidth="1"/>
    <col min="12053" max="12053" width="17.21875" style="5" bestFit="1" customWidth="1"/>
    <col min="12054" max="12054" width="11.44140625" style="5" customWidth="1"/>
    <col min="12055" max="12055" width="18.5546875" style="5" customWidth="1"/>
    <col min="12056" max="12288" width="9.21875" style="5"/>
    <col min="12289" max="12289" width="7.5546875" style="5" customWidth="1"/>
    <col min="12290" max="12290" width="14.21875" style="5" customWidth="1"/>
    <col min="12291" max="12291" width="23.21875" style="5" customWidth="1"/>
    <col min="12292" max="12292" width="21.109375" style="5" customWidth="1"/>
    <col min="12293" max="12294" width="0" style="5" hidden="1" customWidth="1"/>
    <col min="12295" max="12295" width="11.5546875" style="5" customWidth="1"/>
    <col min="12296" max="12296" width="12.77734375" style="5" customWidth="1"/>
    <col min="12297" max="12297" width="9.77734375" style="5" customWidth="1"/>
    <col min="12298" max="12298" width="10.77734375" style="5" customWidth="1"/>
    <col min="12299" max="12299" width="11.44140625" style="5" customWidth="1"/>
    <col min="12300" max="12300" width="11" style="5" customWidth="1"/>
    <col min="12301" max="12301" width="12.5546875" style="5" bestFit="1" customWidth="1"/>
    <col min="12302" max="12302" width="8.5546875" style="5" customWidth="1"/>
    <col min="12303" max="12303" width="10.77734375" style="5" bestFit="1" customWidth="1"/>
    <col min="12304" max="12304" width="11.21875" style="5" customWidth="1"/>
    <col min="12305" max="12305" width="10.77734375" style="5" bestFit="1" customWidth="1"/>
    <col min="12306" max="12306" width="8.5546875" style="5" customWidth="1"/>
    <col min="12307" max="12307" width="10.44140625" style="5" customWidth="1"/>
    <col min="12308" max="12308" width="13.21875" style="5" customWidth="1"/>
    <col min="12309" max="12309" width="17.21875" style="5" bestFit="1" customWidth="1"/>
    <col min="12310" max="12310" width="11.44140625" style="5" customWidth="1"/>
    <col min="12311" max="12311" width="18.5546875" style="5" customWidth="1"/>
    <col min="12312" max="12544" width="9.21875" style="5"/>
    <col min="12545" max="12545" width="7.5546875" style="5" customWidth="1"/>
    <col min="12546" max="12546" width="14.21875" style="5" customWidth="1"/>
    <col min="12547" max="12547" width="23.21875" style="5" customWidth="1"/>
    <col min="12548" max="12548" width="21.109375" style="5" customWidth="1"/>
    <col min="12549" max="12550" width="0" style="5" hidden="1" customWidth="1"/>
    <col min="12551" max="12551" width="11.5546875" style="5" customWidth="1"/>
    <col min="12552" max="12552" width="12.77734375" style="5" customWidth="1"/>
    <col min="12553" max="12553" width="9.77734375" style="5" customWidth="1"/>
    <col min="12554" max="12554" width="10.77734375" style="5" customWidth="1"/>
    <col min="12555" max="12555" width="11.44140625" style="5" customWidth="1"/>
    <col min="12556" max="12556" width="11" style="5" customWidth="1"/>
    <col min="12557" max="12557" width="12.5546875" style="5" bestFit="1" customWidth="1"/>
    <col min="12558" max="12558" width="8.5546875" style="5" customWidth="1"/>
    <col min="12559" max="12559" width="10.77734375" style="5" bestFit="1" customWidth="1"/>
    <col min="12560" max="12560" width="11.21875" style="5" customWidth="1"/>
    <col min="12561" max="12561" width="10.77734375" style="5" bestFit="1" customWidth="1"/>
    <col min="12562" max="12562" width="8.5546875" style="5" customWidth="1"/>
    <col min="12563" max="12563" width="10.44140625" style="5" customWidth="1"/>
    <col min="12564" max="12564" width="13.21875" style="5" customWidth="1"/>
    <col min="12565" max="12565" width="17.21875" style="5" bestFit="1" customWidth="1"/>
    <col min="12566" max="12566" width="11.44140625" style="5" customWidth="1"/>
    <col min="12567" max="12567" width="18.5546875" style="5" customWidth="1"/>
    <col min="12568" max="12800" width="9.21875" style="5"/>
    <col min="12801" max="12801" width="7.5546875" style="5" customWidth="1"/>
    <col min="12802" max="12802" width="14.21875" style="5" customWidth="1"/>
    <col min="12803" max="12803" width="23.21875" style="5" customWidth="1"/>
    <col min="12804" max="12804" width="21.109375" style="5" customWidth="1"/>
    <col min="12805" max="12806" width="0" style="5" hidden="1" customWidth="1"/>
    <col min="12807" max="12807" width="11.5546875" style="5" customWidth="1"/>
    <col min="12808" max="12808" width="12.77734375" style="5" customWidth="1"/>
    <col min="12809" max="12809" width="9.77734375" style="5" customWidth="1"/>
    <col min="12810" max="12810" width="10.77734375" style="5" customWidth="1"/>
    <col min="12811" max="12811" width="11.44140625" style="5" customWidth="1"/>
    <col min="12812" max="12812" width="11" style="5" customWidth="1"/>
    <col min="12813" max="12813" width="12.5546875" style="5" bestFit="1" customWidth="1"/>
    <col min="12814" max="12814" width="8.5546875" style="5" customWidth="1"/>
    <col min="12815" max="12815" width="10.77734375" style="5" bestFit="1" customWidth="1"/>
    <col min="12816" max="12816" width="11.21875" style="5" customWidth="1"/>
    <col min="12817" max="12817" width="10.77734375" style="5" bestFit="1" customWidth="1"/>
    <col min="12818" max="12818" width="8.5546875" style="5" customWidth="1"/>
    <col min="12819" max="12819" width="10.44140625" style="5" customWidth="1"/>
    <col min="12820" max="12820" width="13.21875" style="5" customWidth="1"/>
    <col min="12821" max="12821" width="17.21875" style="5" bestFit="1" customWidth="1"/>
    <col min="12822" max="12822" width="11.44140625" style="5" customWidth="1"/>
    <col min="12823" max="12823" width="18.5546875" style="5" customWidth="1"/>
    <col min="12824" max="13056" width="9.21875" style="5"/>
    <col min="13057" max="13057" width="7.5546875" style="5" customWidth="1"/>
    <col min="13058" max="13058" width="14.21875" style="5" customWidth="1"/>
    <col min="13059" max="13059" width="23.21875" style="5" customWidth="1"/>
    <col min="13060" max="13060" width="21.109375" style="5" customWidth="1"/>
    <col min="13061" max="13062" width="0" style="5" hidden="1" customWidth="1"/>
    <col min="13063" max="13063" width="11.5546875" style="5" customWidth="1"/>
    <col min="13064" max="13064" width="12.77734375" style="5" customWidth="1"/>
    <col min="13065" max="13065" width="9.77734375" style="5" customWidth="1"/>
    <col min="13066" max="13066" width="10.77734375" style="5" customWidth="1"/>
    <col min="13067" max="13067" width="11.44140625" style="5" customWidth="1"/>
    <col min="13068" max="13068" width="11" style="5" customWidth="1"/>
    <col min="13069" max="13069" width="12.5546875" style="5" bestFit="1" customWidth="1"/>
    <col min="13070" max="13070" width="8.5546875" style="5" customWidth="1"/>
    <col min="13071" max="13071" width="10.77734375" style="5" bestFit="1" customWidth="1"/>
    <col min="13072" max="13072" width="11.21875" style="5" customWidth="1"/>
    <col min="13073" max="13073" width="10.77734375" style="5" bestFit="1" customWidth="1"/>
    <col min="13074" max="13074" width="8.5546875" style="5" customWidth="1"/>
    <col min="13075" max="13075" width="10.44140625" style="5" customWidth="1"/>
    <col min="13076" max="13076" width="13.21875" style="5" customWidth="1"/>
    <col min="13077" max="13077" width="17.21875" style="5" bestFit="1" customWidth="1"/>
    <col min="13078" max="13078" width="11.44140625" style="5" customWidth="1"/>
    <col min="13079" max="13079" width="18.5546875" style="5" customWidth="1"/>
    <col min="13080" max="13312" width="9.21875" style="5"/>
    <col min="13313" max="13313" width="7.5546875" style="5" customWidth="1"/>
    <col min="13314" max="13314" width="14.21875" style="5" customWidth="1"/>
    <col min="13315" max="13315" width="23.21875" style="5" customWidth="1"/>
    <col min="13316" max="13316" width="21.109375" style="5" customWidth="1"/>
    <col min="13317" max="13318" width="0" style="5" hidden="1" customWidth="1"/>
    <col min="13319" max="13319" width="11.5546875" style="5" customWidth="1"/>
    <col min="13320" max="13320" width="12.77734375" style="5" customWidth="1"/>
    <col min="13321" max="13321" width="9.77734375" style="5" customWidth="1"/>
    <col min="13322" max="13322" width="10.77734375" style="5" customWidth="1"/>
    <col min="13323" max="13323" width="11.44140625" style="5" customWidth="1"/>
    <col min="13324" max="13324" width="11" style="5" customWidth="1"/>
    <col min="13325" max="13325" width="12.5546875" style="5" bestFit="1" customWidth="1"/>
    <col min="13326" max="13326" width="8.5546875" style="5" customWidth="1"/>
    <col min="13327" max="13327" width="10.77734375" style="5" bestFit="1" customWidth="1"/>
    <col min="13328" max="13328" width="11.21875" style="5" customWidth="1"/>
    <col min="13329" max="13329" width="10.77734375" style="5" bestFit="1" customWidth="1"/>
    <col min="13330" max="13330" width="8.5546875" style="5" customWidth="1"/>
    <col min="13331" max="13331" width="10.44140625" style="5" customWidth="1"/>
    <col min="13332" max="13332" width="13.21875" style="5" customWidth="1"/>
    <col min="13333" max="13333" width="17.21875" style="5" bestFit="1" customWidth="1"/>
    <col min="13334" max="13334" width="11.44140625" style="5" customWidth="1"/>
    <col min="13335" max="13335" width="18.5546875" style="5" customWidth="1"/>
    <col min="13336" max="13568" width="9.21875" style="5"/>
    <col min="13569" max="13569" width="7.5546875" style="5" customWidth="1"/>
    <col min="13570" max="13570" width="14.21875" style="5" customWidth="1"/>
    <col min="13571" max="13571" width="23.21875" style="5" customWidth="1"/>
    <col min="13572" max="13572" width="21.109375" style="5" customWidth="1"/>
    <col min="13573" max="13574" width="0" style="5" hidden="1" customWidth="1"/>
    <col min="13575" max="13575" width="11.5546875" style="5" customWidth="1"/>
    <col min="13576" max="13576" width="12.77734375" style="5" customWidth="1"/>
    <col min="13577" max="13577" width="9.77734375" style="5" customWidth="1"/>
    <col min="13578" max="13578" width="10.77734375" style="5" customWidth="1"/>
    <col min="13579" max="13579" width="11.44140625" style="5" customWidth="1"/>
    <col min="13580" max="13580" width="11" style="5" customWidth="1"/>
    <col min="13581" max="13581" width="12.5546875" style="5" bestFit="1" customWidth="1"/>
    <col min="13582" max="13582" width="8.5546875" style="5" customWidth="1"/>
    <col min="13583" max="13583" width="10.77734375" style="5" bestFit="1" customWidth="1"/>
    <col min="13584" max="13584" width="11.21875" style="5" customWidth="1"/>
    <col min="13585" max="13585" width="10.77734375" style="5" bestFit="1" customWidth="1"/>
    <col min="13586" max="13586" width="8.5546875" style="5" customWidth="1"/>
    <col min="13587" max="13587" width="10.44140625" style="5" customWidth="1"/>
    <col min="13588" max="13588" width="13.21875" style="5" customWidth="1"/>
    <col min="13589" max="13589" width="17.21875" style="5" bestFit="1" customWidth="1"/>
    <col min="13590" max="13590" width="11.44140625" style="5" customWidth="1"/>
    <col min="13591" max="13591" width="18.5546875" style="5" customWidth="1"/>
    <col min="13592" max="13824" width="9.21875" style="5"/>
    <col min="13825" max="13825" width="7.5546875" style="5" customWidth="1"/>
    <col min="13826" max="13826" width="14.21875" style="5" customWidth="1"/>
    <col min="13827" max="13827" width="23.21875" style="5" customWidth="1"/>
    <col min="13828" max="13828" width="21.109375" style="5" customWidth="1"/>
    <col min="13829" max="13830" width="0" style="5" hidden="1" customWidth="1"/>
    <col min="13831" max="13831" width="11.5546875" style="5" customWidth="1"/>
    <col min="13832" max="13832" width="12.77734375" style="5" customWidth="1"/>
    <col min="13833" max="13833" width="9.77734375" style="5" customWidth="1"/>
    <col min="13834" max="13834" width="10.77734375" style="5" customWidth="1"/>
    <col min="13835" max="13835" width="11.44140625" style="5" customWidth="1"/>
    <col min="13836" max="13836" width="11" style="5" customWidth="1"/>
    <col min="13837" max="13837" width="12.5546875" style="5" bestFit="1" customWidth="1"/>
    <col min="13838" max="13838" width="8.5546875" style="5" customWidth="1"/>
    <col min="13839" max="13839" width="10.77734375" style="5" bestFit="1" customWidth="1"/>
    <col min="13840" max="13840" width="11.21875" style="5" customWidth="1"/>
    <col min="13841" max="13841" width="10.77734375" style="5" bestFit="1" customWidth="1"/>
    <col min="13842" max="13842" width="8.5546875" style="5" customWidth="1"/>
    <col min="13843" max="13843" width="10.44140625" style="5" customWidth="1"/>
    <col min="13844" max="13844" width="13.21875" style="5" customWidth="1"/>
    <col min="13845" max="13845" width="17.21875" style="5" bestFit="1" customWidth="1"/>
    <col min="13846" max="13846" width="11.44140625" style="5" customWidth="1"/>
    <col min="13847" max="13847" width="18.5546875" style="5" customWidth="1"/>
    <col min="13848" max="14080" width="9.21875" style="5"/>
    <col min="14081" max="14081" width="7.5546875" style="5" customWidth="1"/>
    <col min="14082" max="14082" width="14.21875" style="5" customWidth="1"/>
    <col min="14083" max="14083" width="23.21875" style="5" customWidth="1"/>
    <col min="14084" max="14084" width="21.109375" style="5" customWidth="1"/>
    <col min="14085" max="14086" width="0" style="5" hidden="1" customWidth="1"/>
    <col min="14087" max="14087" width="11.5546875" style="5" customWidth="1"/>
    <col min="14088" max="14088" width="12.77734375" style="5" customWidth="1"/>
    <col min="14089" max="14089" width="9.77734375" style="5" customWidth="1"/>
    <col min="14090" max="14090" width="10.77734375" style="5" customWidth="1"/>
    <col min="14091" max="14091" width="11.44140625" style="5" customWidth="1"/>
    <col min="14092" max="14092" width="11" style="5" customWidth="1"/>
    <col min="14093" max="14093" width="12.5546875" style="5" bestFit="1" customWidth="1"/>
    <col min="14094" max="14094" width="8.5546875" style="5" customWidth="1"/>
    <col min="14095" max="14095" width="10.77734375" style="5" bestFit="1" customWidth="1"/>
    <col min="14096" max="14096" width="11.21875" style="5" customWidth="1"/>
    <col min="14097" max="14097" width="10.77734375" style="5" bestFit="1" customWidth="1"/>
    <col min="14098" max="14098" width="8.5546875" style="5" customWidth="1"/>
    <col min="14099" max="14099" width="10.44140625" style="5" customWidth="1"/>
    <col min="14100" max="14100" width="13.21875" style="5" customWidth="1"/>
    <col min="14101" max="14101" width="17.21875" style="5" bestFit="1" customWidth="1"/>
    <col min="14102" max="14102" width="11.44140625" style="5" customWidth="1"/>
    <col min="14103" max="14103" width="18.5546875" style="5" customWidth="1"/>
    <col min="14104" max="14336" width="9.21875" style="5"/>
    <col min="14337" max="14337" width="7.5546875" style="5" customWidth="1"/>
    <col min="14338" max="14338" width="14.21875" style="5" customWidth="1"/>
    <col min="14339" max="14339" width="23.21875" style="5" customWidth="1"/>
    <col min="14340" max="14340" width="21.109375" style="5" customWidth="1"/>
    <col min="14341" max="14342" width="0" style="5" hidden="1" customWidth="1"/>
    <col min="14343" max="14343" width="11.5546875" style="5" customWidth="1"/>
    <col min="14344" max="14344" width="12.77734375" style="5" customWidth="1"/>
    <col min="14345" max="14345" width="9.77734375" style="5" customWidth="1"/>
    <col min="14346" max="14346" width="10.77734375" style="5" customWidth="1"/>
    <col min="14347" max="14347" width="11.44140625" style="5" customWidth="1"/>
    <col min="14348" max="14348" width="11" style="5" customWidth="1"/>
    <col min="14349" max="14349" width="12.5546875" style="5" bestFit="1" customWidth="1"/>
    <col min="14350" max="14350" width="8.5546875" style="5" customWidth="1"/>
    <col min="14351" max="14351" width="10.77734375" style="5" bestFit="1" customWidth="1"/>
    <col min="14352" max="14352" width="11.21875" style="5" customWidth="1"/>
    <col min="14353" max="14353" width="10.77734375" style="5" bestFit="1" customWidth="1"/>
    <col min="14354" max="14354" width="8.5546875" style="5" customWidth="1"/>
    <col min="14355" max="14355" width="10.44140625" style="5" customWidth="1"/>
    <col min="14356" max="14356" width="13.21875" style="5" customWidth="1"/>
    <col min="14357" max="14357" width="17.21875" style="5" bestFit="1" customWidth="1"/>
    <col min="14358" max="14358" width="11.44140625" style="5" customWidth="1"/>
    <col min="14359" max="14359" width="18.5546875" style="5" customWidth="1"/>
    <col min="14360" max="14592" width="9.21875" style="5"/>
    <col min="14593" max="14593" width="7.5546875" style="5" customWidth="1"/>
    <col min="14594" max="14594" width="14.21875" style="5" customWidth="1"/>
    <col min="14595" max="14595" width="23.21875" style="5" customWidth="1"/>
    <col min="14596" max="14596" width="21.109375" style="5" customWidth="1"/>
    <col min="14597" max="14598" width="0" style="5" hidden="1" customWidth="1"/>
    <col min="14599" max="14599" width="11.5546875" style="5" customWidth="1"/>
    <col min="14600" max="14600" width="12.77734375" style="5" customWidth="1"/>
    <col min="14601" max="14601" width="9.77734375" style="5" customWidth="1"/>
    <col min="14602" max="14602" width="10.77734375" style="5" customWidth="1"/>
    <col min="14603" max="14603" width="11.44140625" style="5" customWidth="1"/>
    <col min="14604" max="14604" width="11" style="5" customWidth="1"/>
    <col min="14605" max="14605" width="12.5546875" style="5" bestFit="1" customWidth="1"/>
    <col min="14606" max="14606" width="8.5546875" style="5" customWidth="1"/>
    <col min="14607" max="14607" width="10.77734375" style="5" bestFit="1" customWidth="1"/>
    <col min="14608" max="14608" width="11.21875" style="5" customWidth="1"/>
    <col min="14609" max="14609" width="10.77734375" style="5" bestFit="1" customWidth="1"/>
    <col min="14610" max="14610" width="8.5546875" style="5" customWidth="1"/>
    <col min="14611" max="14611" width="10.44140625" style="5" customWidth="1"/>
    <col min="14612" max="14612" width="13.21875" style="5" customWidth="1"/>
    <col min="14613" max="14613" width="17.21875" style="5" bestFit="1" customWidth="1"/>
    <col min="14614" max="14614" width="11.44140625" style="5" customWidth="1"/>
    <col min="14615" max="14615" width="18.5546875" style="5" customWidth="1"/>
    <col min="14616" max="14848" width="9.21875" style="5"/>
    <col min="14849" max="14849" width="7.5546875" style="5" customWidth="1"/>
    <col min="14850" max="14850" width="14.21875" style="5" customWidth="1"/>
    <col min="14851" max="14851" width="23.21875" style="5" customWidth="1"/>
    <col min="14852" max="14852" width="21.109375" style="5" customWidth="1"/>
    <col min="14853" max="14854" width="0" style="5" hidden="1" customWidth="1"/>
    <col min="14855" max="14855" width="11.5546875" style="5" customWidth="1"/>
    <col min="14856" max="14856" width="12.77734375" style="5" customWidth="1"/>
    <col min="14857" max="14857" width="9.77734375" style="5" customWidth="1"/>
    <col min="14858" max="14858" width="10.77734375" style="5" customWidth="1"/>
    <col min="14859" max="14859" width="11.44140625" style="5" customWidth="1"/>
    <col min="14860" max="14860" width="11" style="5" customWidth="1"/>
    <col min="14861" max="14861" width="12.5546875" style="5" bestFit="1" customWidth="1"/>
    <col min="14862" max="14862" width="8.5546875" style="5" customWidth="1"/>
    <col min="14863" max="14863" width="10.77734375" style="5" bestFit="1" customWidth="1"/>
    <col min="14864" max="14864" width="11.21875" style="5" customWidth="1"/>
    <col min="14865" max="14865" width="10.77734375" style="5" bestFit="1" customWidth="1"/>
    <col min="14866" max="14866" width="8.5546875" style="5" customWidth="1"/>
    <col min="14867" max="14867" width="10.44140625" style="5" customWidth="1"/>
    <col min="14868" max="14868" width="13.21875" style="5" customWidth="1"/>
    <col min="14869" max="14869" width="17.21875" style="5" bestFit="1" customWidth="1"/>
    <col min="14870" max="14870" width="11.44140625" style="5" customWidth="1"/>
    <col min="14871" max="14871" width="18.5546875" style="5" customWidth="1"/>
    <col min="14872" max="15104" width="9.21875" style="5"/>
    <col min="15105" max="15105" width="7.5546875" style="5" customWidth="1"/>
    <col min="15106" max="15106" width="14.21875" style="5" customWidth="1"/>
    <col min="15107" max="15107" width="23.21875" style="5" customWidth="1"/>
    <col min="15108" max="15108" width="21.109375" style="5" customWidth="1"/>
    <col min="15109" max="15110" width="0" style="5" hidden="1" customWidth="1"/>
    <col min="15111" max="15111" width="11.5546875" style="5" customWidth="1"/>
    <col min="15112" max="15112" width="12.77734375" style="5" customWidth="1"/>
    <col min="15113" max="15113" width="9.77734375" style="5" customWidth="1"/>
    <col min="15114" max="15114" width="10.77734375" style="5" customWidth="1"/>
    <col min="15115" max="15115" width="11.44140625" style="5" customWidth="1"/>
    <col min="15116" max="15116" width="11" style="5" customWidth="1"/>
    <col min="15117" max="15117" width="12.5546875" style="5" bestFit="1" customWidth="1"/>
    <col min="15118" max="15118" width="8.5546875" style="5" customWidth="1"/>
    <col min="15119" max="15119" width="10.77734375" style="5" bestFit="1" customWidth="1"/>
    <col min="15120" max="15120" width="11.21875" style="5" customWidth="1"/>
    <col min="15121" max="15121" width="10.77734375" style="5" bestFit="1" customWidth="1"/>
    <col min="15122" max="15122" width="8.5546875" style="5" customWidth="1"/>
    <col min="15123" max="15123" width="10.44140625" style="5" customWidth="1"/>
    <col min="15124" max="15124" width="13.21875" style="5" customWidth="1"/>
    <col min="15125" max="15125" width="17.21875" style="5" bestFit="1" customWidth="1"/>
    <col min="15126" max="15126" width="11.44140625" style="5" customWidth="1"/>
    <col min="15127" max="15127" width="18.5546875" style="5" customWidth="1"/>
    <col min="15128" max="15360" width="9.21875" style="5"/>
    <col min="15361" max="15361" width="7.5546875" style="5" customWidth="1"/>
    <col min="15362" max="15362" width="14.21875" style="5" customWidth="1"/>
    <col min="15363" max="15363" width="23.21875" style="5" customWidth="1"/>
    <col min="15364" max="15364" width="21.109375" style="5" customWidth="1"/>
    <col min="15365" max="15366" width="0" style="5" hidden="1" customWidth="1"/>
    <col min="15367" max="15367" width="11.5546875" style="5" customWidth="1"/>
    <col min="15368" max="15368" width="12.77734375" style="5" customWidth="1"/>
    <col min="15369" max="15369" width="9.77734375" style="5" customWidth="1"/>
    <col min="15370" max="15370" width="10.77734375" style="5" customWidth="1"/>
    <col min="15371" max="15371" width="11.44140625" style="5" customWidth="1"/>
    <col min="15372" max="15372" width="11" style="5" customWidth="1"/>
    <col min="15373" max="15373" width="12.5546875" style="5" bestFit="1" customWidth="1"/>
    <col min="15374" max="15374" width="8.5546875" style="5" customWidth="1"/>
    <col min="15375" max="15375" width="10.77734375" style="5" bestFit="1" customWidth="1"/>
    <col min="15376" max="15376" width="11.21875" style="5" customWidth="1"/>
    <col min="15377" max="15377" width="10.77734375" style="5" bestFit="1" customWidth="1"/>
    <col min="15378" max="15378" width="8.5546875" style="5" customWidth="1"/>
    <col min="15379" max="15379" width="10.44140625" style="5" customWidth="1"/>
    <col min="15380" max="15380" width="13.21875" style="5" customWidth="1"/>
    <col min="15381" max="15381" width="17.21875" style="5" bestFit="1" customWidth="1"/>
    <col min="15382" max="15382" width="11.44140625" style="5" customWidth="1"/>
    <col min="15383" max="15383" width="18.5546875" style="5" customWidth="1"/>
    <col min="15384" max="15616" width="9.21875" style="5"/>
    <col min="15617" max="15617" width="7.5546875" style="5" customWidth="1"/>
    <col min="15618" max="15618" width="14.21875" style="5" customWidth="1"/>
    <col min="15619" max="15619" width="23.21875" style="5" customWidth="1"/>
    <col min="15620" max="15620" width="21.109375" style="5" customWidth="1"/>
    <col min="15621" max="15622" width="0" style="5" hidden="1" customWidth="1"/>
    <col min="15623" max="15623" width="11.5546875" style="5" customWidth="1"/>
    <col min="15624" max="15624" width="12.77734375" style="5" customWidth="1"/>
    <col min="15625" max="15625" width="9.77734375" style="5" customWidth="1"/>
    <col min="15626" max="15626" width="10.77734375" style="5" customWidth="1"/>
    <col min="15627" max="15627" width="11.44140625" style="5" customWidth="1"/>
    <col min="15628" max="15628" width="11" style="5" customWidth="1"/>
    <col min="15629" max="15629" width="12.5546875" style="5" bestFit="1" customWidth="1"/>
    <col min="15630" max="15630" width="8.5546875" style="5" customWidth="1"/>
    <col min="15631" max="15631" width="10.77734375" style="5" bestFit="1" customWidth="1"/>
    <col min="15632" max="15632" width="11.21875" style="5" customWidth="1"/>
    <col min="15633" max="15633" width="10.77734375" style="5" bestFit="1" customWidth="1"/>
    <col min="15634" max="15634" width="8.5546875" style="5" customWidth="1"/>
    <col min="15635" max="15635" width="10.44140625" style="5" customWidth="1"/>
    <col min="15636" max="15636" width="13.21875" style="5" customWidth="1"/>
    <col min="15637" max="15637" width="17.21875" style="5" bestFit="1" customWidth="1"/>
    <col min="15638" max="15638" width="11.44140625" style="5" customWidth="1"/>
    <col min="15639" max="15639" width="18.5546875" style="5" customWidth="1"/>
    <col min="15640" max="15872" width="9.21875" style="5"/>
    <col min="15873" max="15873" width="7.5546875" style="5" customWidth="1"/>
    <col min="15874" max="15874" width="14.21875" style="5" customWidth="1"/>
    <col min="15875" max="15875" width="23.21875" style="5" customWidth="1"/>
    <col min="15876" max="15876" width="21.109375" style="5" customWidth="1"/>
    <col min="15877" max="15878" width="0" style="5" hidden="1" customWidth="1"/>
    <col min="15879" max="15879" width="11.5546875" style="5" customWidth="1"/>
    <col min="15880" max="15880" width="12.77734375" style="5" customWidth="1"/>
    <col min="15881" max="15881" width="9.77734375" style="5" customWidth="1"/>
    <col min="15882" max="15882" width="10.77734375" style="5" customWidth="1"/>
    <col min="15883" max="15883" width="11.44140625" style="5" customWidth="1"/>
    <col min="15884" max="15884" width="11" style="5" customWidth="1"/>
    <col min="15885" max="15885" width="12.5546875" style="5" bestFit="1" customWidth="1"/>
    <col min="15886" max="15886" width="8.5546875" style="5" customWidth="1"/>
    <col min="15887" max="15887" width="10.77734375" style="5" bestFit="1" customWidth="1"/>
    <col min="15888" max="15888" width="11.21875" style="5" customWidth="1"/>
    <col min="15889" max="15889" width="10.77734375" style="5" bestFit="1" customWidth="1"/>
    <col min="15890" max="15890" width="8.5546875" style="5" customWidth="1"/>
    <col min="15891" max="15891" width="10.44140625" style="5" customWidth="1"/>
    <col min="15892" max="15892" width="13.21875" style="5" customWidth="1"/>
    <col min="15893" max="15893" width="17.21875" style="5" bestFit="1" customWidth="1"/>
    <col min="15894" max="15894" width="11.44140625" style="5" customWidth="1"/>
    <col min="15895" max="15895" width="18.5546875" style="5" customWidth="1"/>
    <col min="15896" max="16128" width="9.21875" style="5"/>
    <col min="16129" max="16129" width="7.5546875" style="5" customWidth="1"/>
    <col min="16130" max="16130" width="14.21875" style="5" customWidth="1"/>
    <col min="16131" max="16131" width="23.21875" style="5" customWidth="1"/>
    <col min="16132" max="16132" width="21.109375" style="5" customWidth="1"/>
    <col min="16133" max="16134" width="0" style="5" hidden="1" customWidth="1"/>
    <col min="16135" max="16135" width="11.5546875" style="5" customWidth="1"/>
    <col min="16136" max="16136" width="12.77734375" style="5" customWidth="1"/>
    <col min="16137" max="16137" width="9.77734375" style="5" customWidth="1"/>
    <col min="16138" max="16138" width="10.77734375" style="5" customWidth="1"/>
    <col min="16139" max="16139" width="11.44140625" style="5" customWidth="1"/>
    <col min="16140" max="16140" width="11" style="5" customWidth="1"/>
    <col min="16141" max="16141" width="12.5546875" style="5" bestFit="1" customWidth="1"/>
    <col min="16142" max="16142" width="8.5546875" style="5" customWidth="1"/>
    <col min="16143" max="16143" width="10.77734375" style="5" bestFit="1" customWidth="1"/>
    <col min="16144" max="16144" width="11.21875" style="5" customWidth="1"/>
    <col min="16145" max="16145" width="10.77734375" style="5" bestFit="1" customWidth="1"/>
    <col min="16146" max="16146" width="8.5546875" style="5" customWidth="1"/>
    <col min="16147" max="16147" width="10.44140625" style="5" customWidth="1"/>
    <col min="16148" max="16148" width="13.21875" style="5" customWidth="1"/>
    <col min="16149" max="16149" width="17.21875" style="5" bestFit="1" customWidth="1"/>
    <col min="16150" max="16150" width="11.44140625" style="5" customWidth="1"/>
    <col min="16151" max="16151" width="18.5546875" style="5" customWidth="1"/>
    <col min="16152" max="16384" width="9.21875" style="5"/>
  </cols>
  <sheetData>
    <row r="1" spans="1:23" ht="18.600000000000001" thickBot="1" x14ac:dyDescent="0.3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</row>
    <row r="2" spans="1:23" ht="18" x14ac:dyDescent="0.3">
      <c r="A2" s="1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</row>
    <row r="3" spans="1:23" ht="18" x14ac:dyDescent="0.3">
      <c r="A3" s="6" t="s">
        <v>2</v>
      </c>
      <c r="B3" s="7"/>
      <c r="C3" s="7"/>
      <c r="D3" s="8" t="s">
        <v>3</v>
      </c>
      <c r="E3" s="9"/>
      <c r="F3" s="9"/>
      <c r="G3" s="9"/>
      <c r="H3" s="9"/>
      <c r="I3" s="9"/>
      <c r="J3" s="9"/>
      <c r="K3" s="9"/>
      <c r="L3" s="10"/>
      <c r="M3" s="11"/>
      <c r="N3" s="12"/>
      <c r="O3" s="12"/>
      <c r="P3" s="11"/>
      <c r="Q3" s="11"/>
      <c r="R3" s="11"/>
      <c r="S3" s="11"/>
      <c r="T3" s="11"/>
      <c r="U3" s="13"/>
      <c r="V3" s="14"/>
      <c r="W3" s="15"/>
    </row>
    <row r="4" spans="1:23" ht="18" x14ac:dyDescent="0.3">
      <c r="A4" s="6" t="s">
        <v>4</v>
      </c>
      <c r="B4" s="7"/>
      <c r="C4" s="7"/>
      <c r="D4" s="16" t="s">
        <v>5</v>
      </c>
      <c r="E4" s="16"/>
      <c r="F4" s="16"/>
      <c r="G4" s="16"/>
      <c r="H4" s="9"/>
      <c r="I4" s="9"/>
      <c r="J4" s="9"/>
      <c r="K4" s="9"/>
      <c r="L4" s="10"/>
      <c r="M4" s="11"/>
      <c r="N4" s="12"/>
      <c r="O4" s="12"/>
      <c r="P4" s="11"/>
      <c r="Q4" s="11"/>
      <c r="R4" s="11"/>
      <c r="S4" s="11"/>
      <c r="T4" s="11"/>
      <c r="U4" s="13"/>
      <c r="V4" s="14"/>
      <c r="W4" s="15"/>
    </row>
    <row r="5" spans="1:23" ht="18" x14ac:dyDescent="0.3">
      <c r="A5" s="6" t="s">
        <v>6</v>
      </c>
      <c r="B5" s="7"/>
      <c r="C5" s="7"/>
      <c r="D5" s="8" t="s">
        <v>7</v>
      </c>
      <c r="E5" s="9"/>
      <c r="F5" s="9"/>
      <c r="G5" s="9"/>
      <c r="H5" s="9"/>
      <c r="I5" s="9"/>
      <c r="J5" s="9"/>
      <c r="K5" s="9"/>
      <c r="L5" s="10"/>
      <c r="M5" s="11"/>
      <c r="N5" s="12"/>
      <c r="O5" s="12"/>
      <c r="P5" s="11"/>
      <c r="Q5" s="11"/>
      <c r="R5" s="11"/>
      <c r="S5" s="11"/>
      <c r="T5" s="11"/>
      <c r="U5" s="13"/>
      <c r="V5" s="14"/>
      <c r="W5" s="15"/>
    </row>
    <row r="6" spans="1:23" ht="24" customHeight="1" x14ac:dyDescent="0.3">
      <c r="A6" s="17" t="s">
        <v>8</v>
      </c>
      <c r="B6" s="18"/>
      <c r="C6" s="18"/>
      <c r="D6" s="18"/>
      <c r="E6" s="18"/>
      <c r="F6" s="19" t="s">
        <v>9</v>
      </c>
      <c r="G6" s="19"/>
      <c r="H6" s="19"/>
      <c r="I6" s="19"/>
      <c r="J6" s="19"/>
      <c r="K6" s="9"/>
      <c r="L6" s="10"/>
      <c r="M6" s="11"/>
      <c r="N6" s="12"/>
      <c r="O6" s="12"/>
      <c r="P6" s="11"/>
      <c r="Q6" s="11"/>
      <c r="R6" s="11"/>
      <c r="S6" s="11"/>
      <c r="T6" s="11"/>
      <c r="U6" s="13"/>
      <c r="V6" s="14"/>
      <c r="W6" s="15"/>
    </row>
    <row r="7" spans="1:23" ht="36" customHeight="1" thickBot="1" x14ac:dyDescent="0.5">
      <c r="A7" s="20" t="s">
        <v>10</v>
      </c>
      <c r="D7" s="22">
        <v>45992</v>
      </c>
      <c r="E7" s="23"/>
      <c r="F7" s="19"/>
      <c r="G7" s="19"/>
      <c r="H7" s="19"/>
      <c r="I7" s="19"/>
      <c r="J7" s="19"/>
      <c r="K7" s="9"/>
      <c r="L7" s="10"/>
      <c r="M7" s="10"/>
      <c r="N7" s="12"/>
      <c r="O7" s="12"/>
      <c r="P7" s="10"/>
      <c r="Q7" s="10"/>
      <c r="R7" s="10"/>
      <c r="S7" s="10"/>
      <c r="T7" s="10"/>
      <c r="U7" s="24"/>
      <c r="V7" s="25"/>
      <c r="W7" s="26"/>
    </row>
    <row r="8" spans="1:23" ht="16.5" customHeight="1" x14ac:dyDescent="0.3">
      <c r="A8" s="27" t="s">
        <v>11</v>
      </c>
      <c r="B8" s="28" t="s">
        <v>12</v>
      </c>
      <c r="C8" s="29" t="s">
        <v>13</v>
      </c>
      <c r="D8" s="30" t="s">
        <v>14</v>
      </c>
      <c r="E8" s="31"/>
      <c r="F8" s="31"/>
      <c r="G8" s="32" t="s">
        <v>15</v>
      </c>
      <c r="H8" s="32" t="s">
        <v>16</v>
      </c>
      <c r="I8" s="31"/>
      <c r="J8" s="31"/>
      <c r="K8" s="31"/>
      <c r="L8" s="32" t="s">
        <v>17</v>
      </c>
      <c r="M8" s="32" t="s">
        <v>18</v>
      </c>
      <c r="N8" s="32"/>
      <c r="O8" s="32"/>
      <c r="P8" s="32" t="s">
        <v>19</v>
      </c>
      <c r="Q8" s="31"/>
      <c r="R8" s="32" t="s">
        <v>20</v>
      </c>
      <c r="S8" s="32"/>
      <c r="T8" s="32" t="s">
        <v>21</v>
      </c>
      <c r="U8" s="32" t="s">
        <v>22</v>
      </c>
      <c r="V8" s="32" t="s">
        <v>23</v>
      </c>
      <c r="W8" s="33" t="s">
        <v>24</v>
      </c>
    </row>
    <row r="9" spans="1:23" s="44" customFormat="1" ht="122.25" customHeight="1" x14ac:dyDescent="0.25">
      <c r="A9" s="34"/>
      <c r="B9" s="35"/>
      <c r="C9" s="36"/>
      <c r="D9" s="37"/>
      <c r="E9" s="38" t="s">
        <v>25</v>
      </c>
      <c r="F9" s="38" t="s">
        <v>26</v>
      </c>
      <c r="G9" s="39"/>
      <c r="H9" s="39"/>
      <c r="I9" s="38" t="s">
        <v>27</v>
      </c>
      <c r="J9" s="38" t="s">
        <v>28</v>
      </c>
      <c r="K9" s="38" t="s">
        <v>29</v>
      </c>
      <c r="L9" s="39"/>
      <c r="M9" s="40" t="s">
        <v>30</v>
      </c>
      <c r="N9" s="41" t="s">
        <v>31</v>
      </c>
      <c r="O9" s="42"/>
      <c r="P9" s="39"/>
      <c r="Q9" s="40" t="s">
        <v>32</v>
      </c>
      <c r="R9" s="40" t="s">
        <v>33</v>
      </c>
      <c r="S9" s="40" t="s">
        <v>34</v>
      </c>
      <c r="T9" s="39"/>
      <c r="U9" s="39"/>
      <c r="V9" s="39"/>
      <c r="W9" s="43"/>
    </row>
    <row r="10" spans="1:23" ht="18" x14ac:dyDescent="0.35">
      <c r="A10" s="45">
        <v>1</v>
      </c>
      <c r="B10" s="46">
        <v>2</v>
      </c>
      <c r="C10" s="47">
        <v>3</v>
      </c>
      <c r="D10" s="48">
        <v>4</v>
      </c>
      <c r="E10" s="49">
        <v>5</v>
      </c>
      <c r="F10" s="49">
        <v>6</v>
      </c>
      <c r="G10" s="49">
        <v>7</v>
      </c>
      <c r="H10" s="49">
        <v>8</v>
      </c>
      <c r="I10" s="49">
        <v>9</v>
      </c>
      <c r="J10" s="49">
        <v>10</v>
      </c>
      <c r="K10" s="49">
        <v>11</v>
      </c>
      <c r="L10" s="49">
        <v>12</v>
      </c>
      <c r="M10" s="49">
        <v>13</v>
      </c>
      <c r="N10" s="49">
        <v>15</v>
      </c>
      <c r="O10" s="49">
        <v>16</v>
      </c>
      <c r="P10" s="49">
        <v>17</v>
      </c>
      <c r="Q10" s="49">
        <v>18</v>
      </c>
      <c r="R10" s="49">
        <v>19</v>
      </c>
      <c r="S10" s="49"/>
      <c r="T10" s="49">
        <v>21</v>
      </c>
      <c r="U10" s="49">
        <v>22</v>
      </c>
      <c r="V10" s="49">
        <v>23</v>
      </c>
      <c r="W10" s="50">
        <v>24</v>
      </c>
    </row>
    <row r="11" spans="1:23" ht="18" x14ac:dyDescent="0.35">
      <c r="A11" s="45">
        <v>1</v>
      </c>
      <c r="B11" s="46">
        <v>72222011</v>
      </c>
      <c r="C11" s="47" t="s">
        <v>35</v>
      </c>
      <c r="D11" s="51" t="str">
        <f>VLOOKUP(B11,'[1]FORM XIII'!D$1:G$65536,4,0)</f>
        <v>ASHARAM</v>
      </c>
      <c r="E11" s="52" t="str">
        <f>VLOOKUP(B11,'[1]FORM XIII'!D$14:I$91,5,0)</f>
        <v/>
      </c>
      <c r="F11" s="53" t="str">
        <f>VLOOKUP(B11,'[1]FORM XIII'!D$14:I$91,6,0)</f>
        <v>6111169980</v>
      </c>
      <c r="G11" s="54" t="s">
        <v>36</v>
      </c>
      <c r="H11" s="55">
        <v>23</v>
      </c>
      <c r="I11" s="55">
        <v>0</v>
      </c>
      <c r="J11" s="55">
        <v>0</v>
      </c>
      <c r="K11" s="55">
        <f>H11-I11+J11</f>
        <v>23</v>
      </c>
      <c r="L11" s="56">
        <v>480.77</v>
      </c>
      <c r="M11" s="57">
        <f>+K11*L11</f>
        <v>11057.71</v>
      </c>
      <c r="N11" s="57">
        <v>8</v>
      </c>
      <c r="O11" s="57">
        <f>ROUND(L11/8*N11,)</f>
        <v>481</v>
      </c>
      <c r="P11" s="58">
        <f t="shared" ref="P11:P74" si="0">+M11+O11</f>
        <v>11538.71</v>
      </c>
      <c r="Q11" s="57">
        <f t="shared" ref="Q11:Q74" si="1">+ROUND(M11*12%,0)</f>
        <v>1327</v>
      </c>
      <c r="R11" s="57">
        <f>+ROUND(P11*0.75%,0)</f>
        <v>87</v>
      </c>
      <c r="S11" s="57"/>
      <c r="T11" s="58">
        <f t="shared" ref="T11:T57" si="2">SUM(Q11:S11)</f>
        <v>1414</v>
      </c>
      <c r="U11" s="58">
        <f t="shared" ref="U11:U57" si="3">+P11-T11</f>
        <v>10124.709999999999</v>
      </c>
      <c r="V11" s="59"/>
      <c r="W11" s="60"/>
    </row>
    <row r="12" spans="1:23" ht="18" x14ac:dyDescent="0.35">
      <c r="A12" s="45">
        <v>2</v>
      </c>
      <c r="B12" s="46">
        <v>72222024</v>
      </c>
      <c r="C12" s="47" t="s">
        <v>37</v>
      </c>
      <c r="D12" s="51" t="str">
        <f>VLOOKUP(B12,'[1]FORM XIII'!D$1:G$65536,4,0)</f>
        <v>MEERU</v>
      </c>
      <c r="E12" s="52" t="str">
        <f>VLOOKUP(B12,'[1]FORM XIII'!D$14:I$91,5,0)</f>
        <v>101207391229</v>
      </c>
      <c r="F12" s="53" t="str">
        <f>VLOOKUP(B12,'[1]FORM XIII'!D$14:I$91,6,0)</f>
        <v>6111159970</v>
      </c>
      <c r="G12" s="54" t="s">
        <v>36</v>
      </c>
      <c r="H12" s="55">
        <v>27</v>
      </c>
      <c r="I12" s="55">
        <v>0</v>
      </c>
      <c r="J12" s="55">
        <v>0</v>
      </c>
      <c r="K12" s="55">
        <f t="shared" ref="K12:K75" si="4">H12-I12+J12</f>
        <v>27</v>
      </c>
      <c r="L12" s="56">
        <v>480.77</v>
      </c>
      <c r="M12" s="57">
        <f t="shared" ref="M12:M75" si="5">+K12*L12</f>
        <v>12980.789999999999</v>
      </c>
      <c r="N12" s="57">
        <v>2</v>
      </c>
      <c r="O12" s="57">
        <f t="shared" ref="O12:O75" si="6">ROUND(L12/8*N12,)</f>
        <v>120</v>
      </c>
      <c r="P12" s="58">
        <f t="shared" si="0"/>
        <v>13100.789999999999</v>
      </c>
      <c r="Q12" s="57">
        <f t="shared" si="1"/>
        <v>1558</v>
      </c>
      <c r="R12" s="57">
        <f t="shared" ref="R12:R75" si="7">+ROUND(P12*0.75%,0)</f>
        <v>98</v>
      </c>
      <c r="S12" s="57">
        <v>1500</v>
      </c>
      <c r="T12" s="58">
        <f t="shared" si="2"/>
        <v>3156</v>
      </c>
      <c r="U12" s="58">
        <f t="shared" si="3"/>
        <v>9944.7899999999991</v>
      </c>
      <c r="V12" s="59"/>
      <c r="W12" s="60"/>
    </row>
    <row r="13" spans="1:23" ht="18" x14ac:dyDescent="0.35">
      <c r="A13" s="45">
        <v>3</v>
      </c>
      <c r="B13" s="46">
        <v>72222032</v>
      </c>
      <c r="C13" s="47" t="s">
        <v>38</v>
      </c>
      <c r="D13" s="51" t="str">
        <f>VLOOKUP(B13,'[1]FORM XIII'!D$1:G$65536,4,0)</f>
        <v>KALU RAM</v>
      </c>
      <c r="E13" s="52" t="str">
        <f>VLOOKUP(B13,'[1]FORM XIII'!D$14:I$91,5,0)</f>
        <v/>
      </c>
      <c r="F13" s="53" t="str">
        <f>VLOOKUP(B13,'[1]FORM XIII'!D$14:I$91,6,0)</f>
        <v/>
      </c>
      <c r="G13" s="54" t="s">
        <v>36</v>
      </c>
      <c r="H13" s="55">
        <v>25</v>
      </c>
      <c r="I13" s="55">
        <v>0</v>
      </c>
      <c r="J13" s="55">
        <v>0</v>
      </c>
      <c r="K13" s="55">
        <f t="shared" si="4"/>
        <v>25</v>
      </c>
      <c r="L13" s="56">
        <v>480.77</v>
      </c>
      <c r="M13" s="57">
        <f t="shared" si="5"/>
        <v>12019.25</v>
      </c>
      <c r="N13" s="57">
        <v>30</v>
      </c>
      <c r="O13" s="57">
        <f t="shared" si="6"/>
        <v>1803</v>
      </c>
      <c r="P13" s="58">
        <f t="shared" si="0"/>
        <v>13822.25</v>
      </c>
      <c r="Q13" s="57">
        <f t="shared" si="1"/>
        <v>1442</v>
      </c>
      <c r="R13" s="57">
        <f t="shared" si="7"/>
        <v>104</v>
      </c>
      <c r="S13" s="57">
        <v>700</v>
      </c>
      <c r="T13" s="58">
        <f t="shared" si="2"/>
        <v>2246</v>
      </c>
      <c r="U13" s="58">
        <f t="shared" si="3"/>
        <v>11576.25</v>
      </c>
      <c r="V13" s="59"/>
      <c r="W13" s="60"/>
    </row>
    <row r="14" spans="1:23" ht="18" x14ac:dyDescent="0.35">
      <c r="A14" s="45">
        <v>4</v>
      </c>
      <c r="B14" s="46">
        <v>72222118</v>
      </c>
      <c r="C14" s="47" t="s">
        <v>39</v>
      </c>
      <c r="D14" s="51" t="str">
        <f>VLOOKUP(B14,'[1]FORM XIII'!D$1:G$65536,4,0)</f>
        <v>SHUKHPAL</v>
      </c>
      <c r="E14" s="52" t="str">
        <f>VLOOKUP(B14,'[1]FORM XIII'!D$14:I$91,5,0)</f>
        <v>101201585061</v>
      </c>
      <c r="F14" s="53" t="str">
        <f>VLOOKUP(B14,'[1]FORM XIII'!D$14:I$91,6,0)</f>
        <v>61122713540</v>
      </c>
      <c r="G14" s="54" t="s">
        <v>36</v>
      </c>
      <c r="H14" s="55">
        <v>24</v>
      </c>
      <c r="I14" s="55">
        <v>0</v>
      </c>
      <c r="J14" s="55">
        <v>0</v>
      </c>
      <c r="K14" s="55">
        <f t="shared" si="4"/>
        <v>24</v>
      </c>
      <c r="L14" s="56">
        <v>480.77</v>
      </c>
      <c r="M14" s="57">
        <f t="shared" si="5"/>
        <v>11538.48</v>
      </c>
      <c r="N14" s="57">
        <v>33</v>
      </c>
      <c r="O14" s="57">
        <f t="shared" si="6"/>
        <v>1983</v>
      </c>
      <c r="P14" s="58">
        <f t="shared" si="0"/>
        <v>13521.48</v>
      </c>
      <c r="Q14" s="57">
        <f t="shared" si="1"/>
        <v>1385</v>
      </c>
      <c r="R14" s="57">
        <f t="shared" si="7"/>
        <v>101</v>
      </c>
      <c r="S14" s="57"/>
      <c r="T14" s="58">
        <f t="shared" si="2"/>
        <v>1486</v>
      </c>
      <c r="U14" s="58">
        <f t="shared" si="3"/>
        <v>12035.48</v>
      </c>
      <c r="V14" s="59"/>
      <c r="W14" s="60"/>
    </row>
    <row r="15" spans="1:23" ht="18" x14ac:dyDescent="0.35">
      <c r="A15" s="45">
        <v>5</v>
      </c>
      <c r="B15" s="46">
        <v>72232186</v>
      </c>
      <c r="C15" s="47" t="s">
        <v>40</v>
      </c>
      <c r="D15" s="51" t="str">
        <f>VLOOKUP(B15,'[1]FORM XIII'!D$1:G$65536,4,0)</f>
        <v>AJAY PAL</v>
      </c>
      <c r="E15" s="52" t="str">
        <f>VLOOKUP(B15,'[1]FORM XIII'!D$14:I$91,5,0)</f>
        <v/>
      </c>
      <c r="F15" s="53" t="str">
        <f>VLOOKUP(B15,'[1]FORM XIII'!D$14:I$91,6,0)</f>
        <v>6113084733</v>
      </c>
      <c r="G15" s="54" t="s">
        <v>36</v>
      </c>
      <c r="H15" s="55">
        <v>23</v>
      </c>
      <c r="I15" s="55">
        <v>0</v>
      </c>
      <c r="J15" s="55">
        <v>0</v>
      </c>
      <c r="K15" s="55">
        <f t="shared" si="4"/>
        <v>23</v>
      </c>
      <c r="L15" s="56">
        <v>480.77</v>
      </c>
      <c r="M15" s="57">
        <f t="shared" si="5"/>
        <v>11057.71</v>
      </c>
      <c r="N15" s="57">
        <v>26</v>
      </c>
      <c r="O15" s="57">
        <f t="shared" si="6"/>
        <v>1563</v>
      </c>
      <c r="P15" s="58">
        <f t="shared" si="0"/>
        <v>12620.71</v>
      </c>
      <c r="Q15" s="57">
        <f t="shared" si="1"/>
        <v>1327</v>
      </c>
      <c r="R15" s="57">
        <f t="shared" si="7"/>
        <v>95</v>
      </c>
      <c r="S15" s="57">
        <v>50</v>
      </c>
      <c r="T15" s="58">
        <f t="shared" si="2"/>
        <v>1472</v>
      </c>
      <c r="U15" s="58">
        <f t="shared" si="3"/>
        <v>11148.71</v>
      </c>
      <c r="V15" s="59"/>
      <c r="W15" s="60"/>
    </row>
    <row r="16" spans="1:23" ht="18" x14ac:dyDescent="0.35">
      <c r="A16" s="45">
        <v>6</v>
      </c>
      <c r="B16" s="46">
        <v>72232120</v>
      </c>
      <c r="C16" s="47" t="s">
        <v>41</v>
      </c>
      <c r="D16" s="51" t="str">
        <f>VLOOKUP(B16,'[1]FORM XIII'!D$1:G$65536,4,0)</f>
        <v>MOBARIK</v>
      </c>
      <c r="E16" s="52" t="str">
        <f>VLOOKUP(B16,'[1]FORM XIII'!D$14:I$91,5,0)</f>
        <v>101414866705</v>
      </c>
      <c r="F16" s="53" t="str">
        <f>VLOOKUP(B16,'[1]FORM XIII'!D$14:I$91,6,0)</f>
        <v>61124587250</v>
      </c>
      <c r="G16" s="54" t="s">
        <v>36</v>
      </c>
      <c r="H16" s="55">
        <v>26</v>
      </c>
      <c r="I16" s="55">
        <v>0</v>
      </c>
      <c r="J16" s="55">
        <v>0</v>
      </c>
      <c r="K16" s="55">
        <f t="shared" si="4"/>
        <v>26</v>
      </c>
      <c r="L16" s="56">
        <v>480.77</v>
      </c>
      <c r="M16" s="57">
        <f t="shared" si="5"/>
        <v>12500.02</v>
      </c>
      <c r="N16" s="57">
        <v>29</v>
      </c>
      <c r="O16" s="57">
        <f t="shared" si="6"/>
        <v>1743</v>
      </c>
      <c r="P16" s="58">
        <f t="shared" si="0"/>
        <v>14243.02</v>
      </c>
      <c r="Q16" s="57">
        <f t="shared" si="1"/>
        <v>1500</v>
      </c>
      <c r="R16" s="57">
        <f t="shared" si="7"/>
        <v>107</v>
      </c>
      <c r="S16" s="57">
        <v>50</v>
      </c>
      <c r="T16" s="58">
        <f t="shared" si="2"/>
        <v>1657</v>
      </c>
      <c r="U16" s="58">
        <f t="shared" si="3"/>
        <v>12586.02</v>
      </c>
      <c r="V16" s="59"/>
      <c r="W16" s="60"/>
    </row>
    <row r="17" spans="1:23" ht="18" x14ac:dyDescent="0.35">
      <c r="A17" s="45">
        <v>7</v>
      </c>
      <c r="B17" s="46">
        <v>72232124</v>
      </c>
      <c r="C17" s="47" t="s">
        <v>42</v>
      </c>
      <c r="D17" s="51" t="str">
        <f>VLOOKUP(B17,'[1]FORM XIII'!D$1:G$65536,4,0)</f>
        <v>AMAR SINGH</v>
      </c>
      <c r="E17" s="52" t="str">
        <f>VLOOKUP(B17,'[1]FORM XIII'!D$14:I$91,5,0)</f>
        <v>101402663975</v>
      </c>
      <c r="F17" s="53" t="str">
        <f>VLOOKUP(B17,'[1]FORM XIII'!D$14:I$91,6,0)</f>
        <v>6111756705</v>
      </c>
      <c r="G17" s="54" t="s">
        <v>36</v>
      </c>
      <c r="H17" s="55">
        <v>27</v>
      </c>
      <c r="I17" s="55">
        <v>0</v>
      </c>
      <c r="J17" s="55">
        <v>0</v>
      </c>
      <c r="K17" s="55">
        <f t="shared" si="4"/>
        <v>27</v>
      </c>
      <c r="L17" s="56">
        <v>480.77</v>
      </c>
      <c r="M17" s="57">
        <f t="shared" si="5"/>
        <v>12980.789999999999</v>
      </c>
      <c r="N17" s="57">
        <v>18</v>
      </c>
      <c r="O17" s="57">
        <f t="shared" si="6"/>
        <v>1082</v>
      </c>
      <c r="P17" s="58">
        <f t="shared" si="0"/>
        <v>14062.789999999999</v>
      </c>
      <c r="Q17" s="57">
        <f t="shared" si="1"/>
        <v>1558</v>
      </c>
      <c r="R17" s="57">
        <f t="shared" si="7"/>
        <v>105</v>
      </c>
      <c r="S17" s="57"/>
      <c r="T17" s="58">
        <f t="shared" si="2"/>
        <v>1663</v>
      </c>
      <c r="U17" s="58">
        <f t="shared" si="3"/>
        <v>12399.789999999999</v>
      </c>
      <c r="V17" s="59"/>
      <c r="W17" s="60"/>
    </row>
    <row r="18" spans="1:23" ht="18" x14ac:dyDescent="0.35">
      <c r="A18" s="45">
        <v>8</v>
      </c>
      <c r="B18" s="46">
        <v>72232127</v>
      </c>
      <c r="C18" s="47" t="s">
        <v>43</v>
      </c>
      <c r="D18" s="51" t="str">
        <f>VLOOKUP(B18,'[1]FORM XIII'!D$1:G$65536,4,0)</f>
        <v>ANIL KUMAR</v>
      </c>
      <c r="E18" s="52" t="str">
        <f>VLOOKUP(B18,'[1]FORM XIII'!D$14:I$91,5,0)</f>
        <v>101593191256</v>
      </c>
      <c r="F18" s="53" t="str">
        <f>VLOOKUP(B18,'[1]FORM XIII'!D$14:I$91,6,0)</f>
        <v>6112618101</v>
      </c>
      <c r="G18" s="54" t="s">
        <v>36</v>
      </c>
      <c r="H18" s="55">
        <v>26</v>
      </c>
      <c r="I18" s="55">
        <v>0</v>
      </c>
      <c r="J18" s="55">
        <v>0</v>
      </c>
      <c r="K18" s="55">
        <f t="shared" si="4"/>
        <v>26</v>
      </c>
      <c r="L18" s="56">
        <v>480.77</v>
      </c>
      <c r="M18" s="57">
        <f t="shared" si="5"/>
        <v>12500.02</v>
      </c>
      <c r="N18" s="57">
        <v>8</v>
      </c>
      <c r="O18" s="57">
        <f t="shared" si="6"/>
        <v>481</v>
      </c>
      <c r="P18" s="58">
        <f t="shared" si="0"/>
        <v>12981.02</v>
      </c>
      <c r="Q18" s="57">
        <f t="shared" si="1"/>
        <v>1500</v>
      </c>
      <c r="R18" s="57">
        <f t="shared" si="7"/>
        <v>97</v>
      </c>
      <c r="S18" s="57">
        <v>250</v>
      </c>
      <c r="T18" s="58">
        <f t="shared" si="2"/>
        <v>1847</v>
      </c>
      <c r="U18" s="58">
        <f t="shared" si="3"/>
        <v>11134.02</v>
      </c>
      <c r="V18" s="59"/>
      <c r="W18" s="60"/>
    </row>
    <row r="19" spans="1:23" ht="18" x14ac:dyDescent="0.35">
      <c r="A19" s="45">
        <v>9</v>
      </c>
      <c r="B19" s="46">
        <v>72232131</v>
      </c>
      <c r="C19" s="47" t="s">
        <v>44</v>
      </c>
      <c r="D19" s="51" t="str">
        <f>VLOOKUP(B19,'[1]FORM XIII'!D$1:G$65536,4,0)</f>
        <v>SUKHPAL SINGH</v>
      </c>
      <c r="E19" s="52" t="str">
        <f>VLOOKUP(B19,'[1]FORM XIII'!D$14:I$91,5,0)</f>
        <v>101653171237</v>
      </c>
      <c r="F19" s="53" t="str">
        <f>VLOOKUP(B19,'[1]FORM XIII'!D$14:I$91,6,0)</f>
        <v>6112641019</v>
      </c>
      <c r="G19" s="54" t="s">
        <v>36</v>
      </c>
      <c r="H19" s="55">
        <v>19</v>
      </c>
      <c r="I19" s="55">
        <v>0</v>
      </c>
      <c r="J19" s="55">
        <v>0</v>
      </c>
      <c r="K19" s="55">
        <f t="shared" si="4"/>
        <v>19</v>
      </c>
      <c r="L19" s="56">
        <v>480.77</v>
      </c>
      <c r="M19" s="57">
        <f t="shared" si="5"/>
        <v>9134.6299999999992</v>
      </c>
      <c r="N19" s="57">
        <v>8</v>
      </c>
      <c r="O19" s="57">
        <f t="shared" si="6"/>
        <v>481</v>
      </c>
      <c r="P19" s="58">
        <f t="shared" si="0"/>
        <v>9615.6299999999992</v>
      </c>
      <c r="Q19" s="57">
        <f t="shared" si="1"/>
        <v>1096</v>
      </c>
      <c r="R19" s="57">
        <f t="shared" si="7"/>
        <v>72</v>
      </c>
      <c r="S19" s="57"/>
      <c r="T19" s="58">
        <f t="shared" si="2"/>
        <v>1168</v>
      </c>
      <c r="U19" s="58">
        <f t="shared" si="3"/>
        <v>8447.6299999999992</v>
      </c>
      <c r="V19" s="59"/>
      <c r="W19" s="60"/>
    </row>
    <row r="20" spans="1:23" ht="18" x14ac:dyDescent="0.35">
      <c r="A20" s="45">
        <v>10</v>
      </c>
      <c r="B20" s="46">
        <v>72232159</v>
      </c>
      <c r="C20" s="47" t="s">
        <v>45</v>
      </c>
      <c r="D20" s="51" t="str">
        <f>VLOOKUP(B20,'[1]FORM XIII'!D$1:G$65536,4,0)</f>
        <v>PITAM SINGH</v>
      </c>
      <c r="E20" s="52" t="str">
        <f>VLOOKUP(B20,'[1]FORM XIII'!D$14:I$91,5,0)</f>
        <v>101207390772</v>
      </c>
      <c r="F20" s="53" t="str">
        <f>VLOOKUP(B20,'[1]FORM XIII'!D$14:I$91,6,0)</f>
        <v>6111160003</v>
      </c>
      <c r="G20" s="54" t="s">
        <v>36</v>
      </c>
      <c r="H20" s="55">
        <v>10</v>
      </c>
      <c r="I20" s="55">
        <v>0</v>
      </c>
      <c r="J20" s="55">
        <v>0</v>
      </c>
      <c r="K20" s="55">
        <f t="shared" si="4"/>
        <v>10</v>
      </c>
      <c r="L20" s="56">
        <v>480.77</v>
      </c>
      <c r="M20" s="57">
        <f t="shared" si="5"/>
        <v>4807.7</v>
      </c>
      <c r="N20" s="57">
        <v>6</v>
      </c>
      <c r="O20" s="57">
        <f t="shared" si="6"/>
        <v>361</v>
      </c>
      <c r="P20" s="58">
        <f t="shared" si="0"/>
        <v>5168.7</v>
      </c>
      <c r="Q20" s="57">
        <f t="shared" si="1"/>
        <v>577</v>
      </c>
      <c r="R20" s="57">
        <f t="shared" si="7"/>
        <v>39</v>
      </c>
      <c r="S20" s="57">
        <v>150</v>
      </c>
      <c r="T20" s="58">
        <f t="shared" si="2"/>
        <v>766</v>
      </c>
      <c r="U20" s="58">
        <f t="shared" si="3"/>
        <v>4402.7</v>
      </c>
      <c r="V20" s="59"/>
      <c r="W20" s="60"/>
    </row>
    <row r="21" spans="1:23" ht="18" x14ac:dyDescent="0.35">
      <c r="A21" s="45">
        <v>11</v>
      </c>
      <c r="B21" s="46">
        <v>72232160</v>
      </c>
      <c r="C21" s="47" t="s">
        <v>46</v>
      </c>
      <c r="D21" s="51" t="str">
        <f>VLOOKUP(B21,'[1]FORM XIII'!D$1:G$65536,4,0)</f>
        <v>TELLU RAM</v>
      </c>
      <c r="E21" s="52" t="str">
        <f>VLOOKUP(B21,'[1]FORM XIII'!D$14:I$91,5,0)</f>
        <v>100488919985</v>
      </c>
      <c r="F21" s="53" t="str">
        <f>VLOOKUP(B21,'[1]FORM XIII'!D$14:I$91,6,0)</f>
        <v>6110244363</v>
      </c>
      <c r="G21" s="54" t="s">
        <v>36</v>
      </c>
      <c r="H21" s="55">
        <v>23</v>
      </c>
      <c r="I21" s="55">
        <v>0</v>
      </c>
      <c r="J21" s="55">
        <v>0</v>
      </c>
      <c r="K21" s="55">
        <f t="shared" si="4"/>
        <v>23</v>
      </c>
      <c r="L21" s="56">
        <v>480.77</v>
      </c>
      <c r="M21" s="57">
        <f t="shared" si="5"/>
        <v>11057.71</v>
      </c>
      <c r="N21" s="57">
        <v>16</v>
      </c>
      <c r="O21" s="57">
        <f t="shared" si="6"/>
        <v>962</v>
      </c>
      <c r="P21" s="58">
        <f t="shared" si="0"/>
        <v>12019.71</v>
      </c>
      <c r="Q21" s="57">
        <f t="shared" si="1"/>
        <v>1327</v>
      </c>
      <c r="R21" s="57">
        <f t="shared" si="7"/>
        <v>90</v>
      </c>
      <c r="S21" s="57">
        <v>62</v>
      </c>
      <c r="T21" s="58">
        <f t="shared" si="2"/>
        <v>1479</v>
      </c>
      <c r="U21" s="58">
        <f t="shared" si="3"/>
        <v>10540.71</v>
      </c>
      <c r="V21" s="59"/>
      <c r="W21" s="60"/>
    </row>
    <row r="22" spans="1:23" ht="18" x14ac:dyDescent="0.35">
      <c r="A22" s="45">
        <v>12</v>
      </c>
      <c r="B22" s="46">
        <v>72232163</v>
      </c>
      <c r="C22" s="47" t="s">
        <v>47</v>
      </c>
      <c r="D22" s="51" t="str">
        <f>VLOOKUP(B22,'[1]FORM XIII'!D$1:G$65536,4,0)</f>
        <v>ISHAM SINGH</v>
      </c>
      <c r="E22" s="52" t="str">
        <f>VLOOKUP(B22,'[1]FORM XIII'!D$14:I$91,5,0)</f>
        <v>101267347538</v>
      </c>
      <c r="F22" s="53" t="str">
        <f>VLOOKUP(B22,'[1]FORM XIII'!D$14:I$91,6,0)</f>
        <v>6111848626</v>
      </c>
      <c r="G22" s="54" t="s">
        <v>48</v>
      </c>
      <c r="H22" s="55">
        <v>27</v>
      </c>
      <c r="I22" s="55">
        <v>0</v>
      </c>
      <c r="J22" s="55">
        <v>0</v>
      </c>
      <c r="K22" s="55">
        <f t="shared" si="4"/>
        <v>27</v>
      </c>
      <c r="L22" s="56">
        <v>542.04</v>
      </c>
      <c r="M22" s="57">
        <f t="shared" si="5"/>
        <v>14635.079999999998</v>
      </c>
      <c r="N22" s="57">
        <v>52</v>
      </c>
      <c r="O22" s="57">
        <f t="shared" si="6"/>
        <v>3523</v>
      </c>
      <c r="P22" s="58">
        <f t="shared" si="0"/>
        <v>18158.079999999998</v>
      </c>
      <c r="Q22" s="57">
        <f t="shared" si="1"/>
        <v>1756</v>
      </c>
      <c r="R22" s="57">
        <f t="shared" si="7"/>
        <v>136</v>
      </c>
      <c r="S22" s="57"/>
      <c r="T22" s="58">
        <f t="shared" si="2"/>
        <v>1892</v>
      </c>
      <c r="U22" s="58">
        <f t="shared" si="3"/>
        <v>16266.079999999998</v>
      </c>
      <c r="V22" s="59"/>
      <c r="W22" s="60"/>
    </row>
    <row r="23" spans="1:23" ht="18" x14ac:dyDescent="0.35">
      <c r="A23" s="45">
        <v>13</v>
      </c>
      <c r="B23" s="46">
        <v>72232164</v>
      </c>
      <c r="C23" s="47" t="s">
        <v>49</v>
      </c>
      <c r="D23" s="51" t="str">
        <f>VLOOKUP(B23,'[1]FORM XIII'!D$1:G$65536,4,0)</f>
        <v>RISHIPAL</v>
      </c>
      <c r="E23" s="52" t="str">
        <f>VLOOKUP(B23,'[1]FORM XIII'!D$14:I$91,5,0)</f>
        <v>101277452773</v>
      </c>
      <c r="F23" s="53" t="str">
        <f>VLOOKUP(B23,'[1]FORM XIII'!D$14:I$91,6,0)</f>
        <v>6111353057</v>
      </c>
      <c r="G23" s="54" t="s">
        <v>48</v>
      </c>
      <c r="H23" s="55">
        <v>18</v>
      </c>
      <c r="I23" s="55">
        <v>0</v>
      </c>
      <c r="J23" s="55">
        <v>0</v>
      </c>
      <c r="K23" s="55">
        <f t="shared" si="4"/>
        <v>18</v>
      </c>
      <c r="L23" s="56">
        <v>542.04</v>
      </c>
      <c r="M23" s="57">
        <f t="shared" si="5"/>
        <v>9756.7199999999993</v>
      </c>
      <c r="N23" s="57">
        <v>17</v>
      </c>
      <c r="O23" s="57">
        <f t="shared" si="6"/>
        <v>1152</v>
      </c>
      <c r="P23" s="58">
        <f t="shared" si="0"/>
        <v>10908.72</v>
      </c>
      <c r="Q23" s="57">
        <f t="shared" si="1"/>
        <v>1171</v>
      </c>
      <c r="R23" s="57">
        <f t="shared" si="7"/>
        <v>82</v>
      </c>
      <c r="S23" s="57"/>
      <c r="T23" s="58">
        <f t="shared" si="2"/>
        <v>1253</v>
      </c>
      <c r="U23" s="58">
        <f t="shared" si="3"/>
        <v>9655.7199999999993</v>
      </c>
      <c r="V23" s="59"/>
      <c r="W23" s="60"/>
    </row>
    <row r="24" spans="1:23" ht="18" x14ac:dyDescent="0.35">
      <c r="A24" s="45">
        <v>14</v>
      </c>
      <c r="B24" s="46">
        <v>72232165</v>
      </c>
      <c r="C24" s="47" t="s">
        <v>50</v>
      </c>
      <c r="D24" s="51" t="str">
        <f>VLOOKUP(B24,'[1]FORM XIII'!D$1:G$65536,4,0)</f>
        <v>GOPAL SINGH</v>
      </c>
      <c r="E24" s="52" t="str">
        <f>VLOOKUP(B24,'[1]FORM XIII'!D$14:I$91,5,0)</f>
        <v>101207391238</v>
      </c>
      <c r="F24" s="53" t="str">
        <f>VLOOKUP(B24,'[1]FORM XIII'!D$14:I$91,6,0)</f>
        <v>6111159974</v>
      </c>
      <c r="G24" s="54" t="s">
        <v>48</v>
      </c>
      <c r="H24" s="55">
        <v>25</v>
      </c>
      <c r="I24" s="55">
        <v>0</v>
      </c>
      <c r="J24" s="55">
        <v>0</v>
      </c>
      <c r="K24" s="55">
        <f t="shared" si="4"/>
        <v>25</v>
      </c>
      <c r="L24" s="56">
        <v>542.04</v>
      </c>
      <c r="M24" s="57">
        <f t="shared" si="5"/>
        <v>13551</v>
      </c>
      <c r="N24" s="57">
        <v>31</v>
      </c>
      <c r="O24" s="57">
        <f t="shared" si="6"/>
        <v>2100</v>
      </c>
      <c r="P24" s="58">
        <f t="shared" si="0"/>
        <v>15651</v>
      </c>
      <c r="Q24" s="57">
        <f t="shared" si="1"/>
        <v>1626</v>
      </c>
      <c r="R24" s="57">
        <f t="shared" si="7"/>
        <v>117</v>
      </c>
      <c r="S24" s="57"/>
      <c r="T24" s="58">
        <f t="shared" si="2"/>
        <v>1743</v>
      </c>
      <c r="U24" s="58">
        <f t="shared" si="3"/>
        <v>13908</v>
      </c>
      <c r="V24" s="59"/>
      <c r="W24" s="60"/>
    </row>
    <row r="25" spans="1:23" ht="18" x14ac:dyDescent="0.35">
      <c r="A25" s="45">
        <v>15</v>
      </c>
      <c r="B25" s="46">
        <v>72232166</v>
      </c>
      <c r="C25" s="47" t="s">
        <v>51</v>
      </c>
      <c r="D25" s="51" t="str">
        <f>VLOOKUP(B25,'[1]FORM XIII'!D$1:G$65536,4,0)</f>
        <v>PAWAN</v>
      </c>
      <c r="E25" s="52" t="str">
        <f>VLOOKUP(B25,'[1]FORM XIII'!D$14:I$91,5,0)</f>
        <v>101163823055</v>
      </c>
      <c r="F25" s="53" t="str">
        <f>VLOOKUP(B25,'[1]FORM XIII'!D$14:I$91,6,0)</f>
        <v>6113162970</v>
      </c>
      <c r="G25" s="54" t="s">
        <v>36</v>
      </c>
      <c r="H25" s="55">
        <v>18</v>
      </c>
      <c r="I25" s="55">
        <v>0</v>
      </c>
      <c r="J25" s="55">
        <v>0</v>
      </c>
      <c r="K25" s="55">
        <f t="shared" si="4"/>
        <v>18</v>
      </c>
      <c r="L25" s="56">
        <v>480.77</v>
      </c>
      <c r="M25" s="57">
        <f t="shared" si="5"/>
        <v>8653.86</v>
      </c>
      <c r="N25" s="57">
        <v>39</v>
      </c>
      <c r="O25" s="57">
        <f t="shared" si="6"/>
        <v>2344</v>
      </c>
      <c r="P25" s="58">
        <f t="shared" si="0"/>
        <v>10997.86</v>
      </c>
      <c r="Q25" s="57">
        <f t="shared" si="1"/>
        <v>1038</v>
      </c>
      <c r="R25" s="57">
        <f t="shared" si="7"/>
        <v>82</v>
      </c>
      <c r="S25" s="57"/>
      <c r="T25" s="58">
        <f t="shared" si="2"/>
        <v>1120</v>
      </c>
      <c r="U25" s="58">
        <f t="shared" si="3"/>
        <v>9877.86</v>
      </c>
      <c r="V25" s="59"/>
      <c r="W25" s="60"/>
    </row>
    <row r="26" spans="1:23" ht="18" x14ac:dyDescent="0.35">
      <c r="A26" s="45">
        <v>16</v>
      </c>
      <c r="B26" s="46">
        <v>72232167</v>
      </c>
      <c r="C26" s="47" t="s">
        <v>52</v>
      </c>
      <c r="D26" s="51" t="str">
        <f>VLOOKUP(B26,'[1]FORM XIII'!D$1:G$65536,4,0)</f>
        <v>SORAN SINGH</v>
      </c>
      <c r="E26" s="52" t="str">
        <f>VLOOKUP(B26,'[1]FORM XIII'!D$14:I$91,5,0)</f>
        <v>101795807783</v>
      </c>
      <c r="F26" s="53" t="str">
        <f>VLOOKUP(B26,'[1]FORM XIII'!D$14:I$91,6,0)</f>
        <v>6113120324</v>
      </c>
      <c r="G26" s="54" t="s">
        <v>36</v>
      </c>
      <c r="H26" s="55">
        <v>23</v>
      </c>
      <c r="I26" s="55">
        <v>0</v>
      </c>
      <c r="J26" s="55">
        <v>0</v>
      </c>
      <c r="K26" s="55">
        <f t="shared" si="4"/>
        <v>23</v>
      </c>
      <c r="L26" s="56">
        <v>480.77</v>
      </c>
      <c r="M26" s="57">
        <f t="shared" si="5"/>
        <v>11057.71</v>
      </c>
      <c r="N26" s="57">
        <v>22</v>
      </c>
      <c r="O26" s="57">
        <f t="shared" si="6"/>
        <v>1322</v>
      </c>
      <c r="P26" s="58">
        <f t="shared" si="0"/>
        <v>12379.71</v>
      </c>
      <c r="Q26" s="57">
        <f t="shared" si="1"/>
        <v>1327</v>
      </c>
      <c r="R26" s="57">
        <f t="shared" si="7"/>
        <v>93</v>
      </c>
      <c r="S26" s="57"/>
      <c r="T26" s="58">
        <f t="shared" si="2"/>
        <v>1420</v>
      </c>
      <c r="U26" s="58">
        <f t="shared" si="3"/>
        <v>10959.71</v>
      </c>
      <c r="V26" s="59"/>
      <c r="W26" s="60"/>
    </row>
    <row r="27" spans="1:23" ht="18" x14ac:dyDescent="0.35">
      <c r="A27" s="45">
        <v>17</v>
      </c>
      <c r="B27" s="46">
        <v>72232174</v>
      </c>
      <c r="C27" s="47" t="s">
        <v>53</v>
      </c>
      <c r="D27" s="51" t="str">
        <f>VLOOKUP(B27,'[1]FORM XIII'!D$1:G$65536,4,0)</f>
        <v>CHATAR SINGH</v>
      </c>
      <c r="E27" s="52" t="str">
        <f>VLOOKUP(B27,'[1]FORM XIII'!D$14:I$91,5,0)</f>
        <v>101277452760</v>
      </c>
      <c r="F27" s="53" t="str">
        <f>VLOOKUP(B27,'[1]FORM XIII'!D$14:I$91,6,0)</f>
        <v>6111353053</v>
      </c>
      <c r="G27" s="54" t="s">
        <v>36</v>
      </c>
      <c r="H27" s="55">
        <v>24</v>
      </c>
      <c r="I27" s="55">
        <v>0</v>
      </c>
      <c r="J27" s="55">
        <v>0</v>
      </c>
      <c r="K27" s="55">
        <f t="shared" si="4"/>
        <v>24</v>
      </c>
      <c r="L27" s="56">
        <v>480.77</v>
      </c>
      <c r="M27" s="57">
        <f t="shared" si="5"/>
        <v>11538.48</v>
      </c>
      <c r="N27" s="57">
        <v>27</v>
      </c>
      <c r="O27" s="57">
        <f t="shared" si="6"/>
        <v>1623</v>
      </c>
      <c r="P27" s="58">
        <f t="shared" si="0"/>
        <v>13161.48</v>
      </c>
      <c r="Q27" s="57">
        <f t="shared" si="1"/>
        <v>1385</v>
      </c>
      <c r="R27" s="57">
        <f t="shared" si="7"/>
        <v>99</v>
      </c>
      <c r="S27" s="57">
        <v>100</v>
      </c>
      <c r="T27" s="58">
        <f t="shared" si="2"/>
        <v>1584</v>
      </c>
      <c r="U27" s="58">
        <f t="shared" si="3"/>
        <v>11577.48</v>
      </c>
      <c r="V27" s="59"/>
      <c r="W27" s="60"/>
    </row>
    <row r="28" spans="1:23" ht="18" x14ac:dyDescent="0.35">
      <c r="A28" s="45">
        <v>18</v>
      </c>
      <c r="B28" s="46">
        <v>72232208</v>
      </c>
      <c r="C28" s="47" t="s">
        <v>54</v>
      </c>
      <c r="D28" s="51" t="str">
        <f>VLOOKUP(B28,'[1]FORM XIII'!D$1:G$65536,4,0)</f>
        <v>RAJPAL</v>
      </c>
      <c r="E28" s="52" t="str">
        <f>VLOOKUP(B28,'[1]FORM XIII'!D$14:I$91,5,0)</f>
        <v>101358281149</v>
      </c>
      <c r="F28" s="53" t="str">
        <f>VLOOKUP(B28,'[1]FORM XIII'!D$14:I$91,6,0)</f>
        <v>6113708172</v>
      </c>
      <c r="G28" s="54" t="s">
        <v>36</v>
      </c>
      <c r="H28" s="55">
        <v>20</v>
      </c>
      <c r="I28" s="55">
        <v>0</v>
      </c>
      <c r="J28" s="55">
        <v>0</v>
      </c>
      <c r="K28" s="55">
        <f t="shared" si="4"/>
        <v>20</v>
      </c>
      <c r="L28" s="56">
        <v>480.77</v>
      </c>
      <c r="M28" s="57">
        <f t="shared" si="5"/>
        <v>9615.4</v>
      </c>
      <c r="N28" s="57">
        <v>14</v>
      </c>
      <c r="O28" s="57">
        <f t="shared" si="6"/>
        <v>841</v>
      </c>
      <c r="P28" s="58">
        <f t="shared" si="0"/>
        <v>10456.4</v>
      </c>
      <c r="Q28" s="57">
        <f t="shared" si="1"/>
        <v>1154</v>
      </c>
      <c r="R28" s="57">
        <f t="shared" si="7"/>
        <v>78</v>
      </c>
      <c r="S28" s="57">
        <v>150</v>
      </c>
      <c r="T28" s="58">
        <f t="shared" si="2"/>
        <v>1382</v>
      </c>
      <c r="U28" s="58">
        <f t="shared" si="3"/>
        <v>9074.4</v>
      </c>
      <c r="V28" s="59"/>
      <c r="W28" s="60"/>
    </row>
    <row r="29" spans="1:23" ht="18" x14ac:dyDescent="0.35">
      <c r="A29" s="45">
        <v>19</v>
      </c>
      <c r="B29" s="46">
        <v>72232177</v>
      </c>
      <c r="C29" s="47" t="s">
        <v>55</v>
      </c>
      <c r="D29" s="51" t="str">
        <f>VLOOKUP(B29,'[1]FORM XIII'!D$1:G$65536,4,0)</f>
        <v>MAMCHAND</v>
      </c>
      <c r="E29" s="52" t="str">
        <f>VLOOKUP(B29,'[1]FORM XIII'!D$14:I$91,5,0)</f>
        <v>101092821026</v>
      </c>
      <c r="F29" s="53" t="str">
        <f>VLOOKUP(B29,'[1]FORM XIII'!D$14:I$91,6,0)</f>
        <v>6110263804</v>
      </c>
      <c r="G29" s="54" t="s">
        <v>36</v>
      </c>
      <c r="H29" s="55">
        <v>23</v>
      </c>
      <c r="I29" s="55">
        <v>0</v>
      </c>
      <c r="J29" s="55">
        <v>0</v>
      </c>
      <c r="K29" s="55">
        <f t="shared" si="4"/>
        <v>23</v>
      </c>
      <c r="L29" s="56">
        <v>480.77</v>
      </c>
      <c r="M29" s="57">
        <f t="shared" si="5"/>
        <v>11057.71</v>
      </c>
      <c r="N29" s="57">
        <v>25</v>
      </c>
      <c r="O29" s="57">
        <f t="shared" si="6"/>
        <v>1502</v>
      </c>
      <c r="P29" s="58">
        <f t="shared" si="0"/>
        <v>12559.71</v>
      </c>
      <c r="Q29" s="57">
        <f t="shared" si="1"/>
        <v>1327</v>
      </c>
      <c r="R29" s="57">
        <f t="shared" si="7"/>
        <v>94</v>
      </c>
      <c r="S29" s="57">
        <v>62</v>
      </c>
      <c r="T29" s="58">
        <f t="shared" si="2"/>
        <v>1483</v>
      </c>
      <c r="U29" s="58">
        <f t="shared" si="3"/>
        <v>11076.71</v>
      </c>
      <c r="V29" s="59"/>
      <c r="W29" s="60"/>
    </row>
    <row r="30" spans="1:23" ht="18" x14ac:dyDescent="0.35">
      <c r="A30" s="45">
        <v>20</v>
      </c>
      <c r="B30" s="46">
        <v>72232178</v>
      </c>
      <c r="C30" s="47" t="s">
        <v>56</v>
      </c>
      <c r="D30" s="51" t="str">
        <f>VLOOKUP(B30,'[1]FORM XIII'!D$1:G$65536,4,0)</f>
        <v>SATPAL</v>
      </c>
      <c r="E30" s="52" t="str">
        <f>VLOOKUP(B30,'[1]FORM XIII'!D$14:I$91,5,0)</f>
        <v>101402664613</v>
      </c>
      <c r="F30" s="53" t="str">
        <f>VLOOKUP(B30,'[1]FORM XIII'!D$14:I$91,6,0)</f>
        <v>6111465832</v>
      </c>
      <c r="G30" s="54" t="s">
        <v>36</v>
      </c>
      <c r="H30" s="55">
        <v>24</v>
      </c>
      <c r="I30" s="55">
        <v>0</v>
      </c>
      <c r="J30" s="55">
        <v>0</v>
      </c>
      <c r="K30" s="55">
        <f t="shared" si="4"/>
        <v>24</v>
      </c>
      <c r="L30" s="56">
        <v>480.77</v>
      </c>
      <c r="M30" s="57">
        <f t="shared" si="5"/>
        <v>11538.48</v>
      </c>
      <c r="N30" s="57">
        <v>30</v>
      </c>
      <c r="O30" s="57">
        <f t="shared" si="6"/>
        <v>1803</v>
      </c>
      <c r="P30" s="58">
        <f t="shared" si="0"/>
        <v>13341.48</v>
      </c>
      <c r="Q30" s="57">
        <f t="shared" si="1"/>
        <v>1385</v>
      </c>
      <c r="R30" s="57">
        <f t="shared" si="7"/>
        <v>100</v>
      </c>
      <c r="S30" s="57"/>
      <c r="T30" s="58">
        <f t="shared" si="2"/>
        <v>1485</v>
      </c>
      <c r="U30" s="58">
        <f t="shared" si="3"/>
        <v>11856.48</v>
      </c>
      <c r="V30" s="59"/>
      <c r="W30" s="60"/>
    </row>
    <row r="31" spans="1:23" ht="18" x14ac:dyDescent="0.35">
      <c r="A31" s="45">
        <v>21</v>
      </c>
      <c r="B31" s="46">
        <v>72232179</v>
      </c>
      <c r="C31" s="47" t="s">
        <v>57</v>
      </c>
      <c r="D31" s="51" t="str">
        <f>VLOOKUP(B31,'[1]FORM XIII'!D$1:G$65536,4,0)</f>
        <v>MAHIPAL SINGH</v>
      </c>
      <c r="E31" s="52" t="str">
        <f>VLOOKUP(B31,'[1]FORM XIII'!D$14:I$91,5,0)</f>
        <v>101207391199</v>
      </c>
      <c r="F31" s="53" t="str">
        <f>VLOOKUP(B31,'[1]FORM XIII'!D$14:I$91,6,0)</f>
        <v>6111159991</v>
      </c>
      <c r="G31" s="54" t="s">
        <v>36</v>
      </c>
      <c r="H31" s="55">
        <v>26</v>
      </c>
      <c r="I31" s="55">
        <v>0</v>
      </c>
      <c r="J31" s="55">
        <v>0</v>
      </c>
      <c r="K31" s="55">
        <f t="shared" si="4"/>
        <v>26</v>
      </c>
      <c r="L31" s="56">
        <v>480.77</v>
      </c>
      <c r="M31" s="57">
        <f t="shared" si="5"/>
        <v>12500.02</v>
      </c>
      <c r="N31" s="57">
        <v>29</v>
      </c>
      <c r="O31" s="57">
        <f t="shared" si="6"/>
        <v>1743</v>
      </c>
      <c r="P31" s="58">
        <f t="shared" si="0"/>
        <v>14243.02</v>
      </c>
      <c r="Q31" s="57">
        <f t="shared" si="1"/>
        <v>1500</v>
      </c>
      <c r="R31" s="57">
        <f t="shared" si="7"/>
        <v>107</v>
      </c>
      <c r="S31" s="57"/>
      <c r="T31" s="58">
        <f t="shared" si="2"/>
        <v>1607</v>
      </c>
      <c r="U31" s="58">
        <f t="shared" si="3"/>
        <v>12636.02</v>
      </c>
      <c r="V31" s="59"/>
      <c r="W31" s="60"/>
    </row>
    <row r="32" spans="1:23" ht="18" x14ac:dyDescent="0.35">
      <c r="A32" s="45">
        <v>22</v>
      </c>
      <c r="B32" s="46">
        <v>72232180</v>
      </c>
      <c r="C32" s="47" t="s">
        <v>58</v>
      </c>
      <c r="D32" s="51" t="str">
        <f>VLOOKUP(B32,'[1]FORM XIII'!D$1:G$65536,4,0)</f>
        <v>SHYAM KUMAR</v>
      </c>
      <c r="E32" s="52" t="str">
        <f>VLOOKUP(B32,'[1]FORM XIII'!D$14:I$91,5,0)</f>
        <v>101071404816</v>
      </c>
      <c r="F32" s="53" t="str">
        <f>VLOOKUP(B32,'[1]FORM XIII'!D$14:I$91,6,0)</f>
        <v>6113618997</v>
      </c>
      <c r="G32" s="54" t="s">
        <v>36</v>
      </c>
      <c r="H32" s="55">
        <v>16</v>
      </c>
      <c r="I32" s="55">
        <v>0</v>
      </c>
      <c r="J32" s="55">
        <v>0</v>
      </c>
      <c r="K32" s="55">
        <f t="shared" si="4"/>
        <v>16</v>
      </c>
      <c r="L32" s="56">
        <v>480.77</v>
      </c>
      <c r="M32" s="57">
        <f t="shared" si="5"/>
        <v>7692.32</v>
      </c>
      <c r="N32" s="57">
        <v>16</v>
      </c>
      <c r="O32" s="57">
        <f t="shared" si="6"/>
        <v>962</v>
      </c>
      <c r="P32" s="58">
        <f t="shared" si="0"/>
        <v>8654.32</v>
      </c>
      <c r="Q32" s="57">
        <f t="shared" si="1"/>
        <v>923</v>
      </c>
      <c r="R32" s="57">
        <f t="shared" si="7"/>
        <v>65</v>
      </c>
      <c r="S32" s="57">
        <v>500</v>
      </c>
      <c r="T32" s="58">
        <f t="shared" si="2"/>
        <v>1488</v>
      </c>
      <c r="U32" s="58">
        <f t="shared" si="3"/>
        <v>7166.32</v>
      </c>
      <c r="V32" s="59"/>
      <c r="W32" s="60"/>
    </row>
    <row r="33" spans="1:23" ht="18" x14ac:dyDescent="0.35">
      <c r="A33" s="45">
        <v>23</v>
      </c>
      <c r="B33" s="46">
        <v>72232182</v>
      </c>
      <c r="C33" s="47" t="s">
        <v>59</v>
      </c>
      <c r="D33" s="51" t="str">
        <f>VLOOKUP(B33,'[1]FORM XIII'!D$1:G$65536,4,0)</f>
        <v>TELLURAM</v>
      </c>
      <c r="E33" s="52" t="str">
        <f>VLOOKUP(B33,'[1]FORM XIII'!D$14:I$91,5,0)</f>
        <v>101807329476</v>
      </c>
      <c r="F33" s="53" t="str">
        <f>VLOOKUP(B33,'[1]FORM XIII'!D$14:I$91,6,0)</f>
        <v>6113162971</v>
      </c>
      <c r="G33" s="54" t="s">
        <v>36</v>
      </c>
      <c r="H33" s="55">
        <v>17</v>
      </c>
      <c r="I33" s="55">
        <v>0</v>
      </c>
      <c r="J33" s="55">
        <v>0</v>
      </c>
      <c r="K33" s="55">
        <f t="shared" si="4"/>
        <v>17</v>
      </c>
      <c r="L33" s="56">
        <v>480.77</v>
      </c>
      <c r="M33" s="57">
        <f t="shared" si="5"/>
        <v>8173.09</v>
      </c>
      <c r="N33" s="57">
        <v>7</v>
      </c>
      <c r="O33" s="57">
        <f t="shared" si="6"/>
        <v>421</v>
      </c>
      <c r="P33" s="58">
        <f t="shared" si="0"/>
        <v>8594.09</v>
      </c>
      <c r="Q33" s="57">
        <f t="shared" si="1"/>
        <v>981</v>
      </c>
      <c r="R33" s="57">
        <f t="shared" si="7"/>
        <v>64</v>
      </c>
      <c r="S33" s="57"/>
      <c r="T33" s="58">
        <f t="shared" si="2"/>
        <v>1045</v>
      </c>
      <c r="U33" s="58">
        <f t="shared" si="3"/>
        <v>7549.09</v>
      </c>
      <c r="V33" s="59"/>
      <c r="W33" s="60"/>
    </row>
    <row r="34" spans="1:23" ht="18" x14ac:dyDescent="0.35">
      <c r="A34" s="45">
        <v>24</v>
      </c>
      <c r="B34" s="46">
        <v>72232190</v>
      </c>
      <c r="C34" s="47" t="s">
        <v>60</v>
      </c>
      <c r="D34" s="51" t="str">
        <f>VLOOKUP(B34,'[1]FORM XIII'!D$1:G$65536,4,0)</f>
        <v>CHAMAN SINGH</v>
      </c>
      <c r="E34" s="52" t="str">
        <f>VLOOKUP(B34,'[1]FORM XIII'!D$14:I$91,5,0)</f>
        <v>101161379604</v>
      </c>
      <c r="F34" s="53" t="str">
        <f>VLOOKUP(B34,'[1]FORM XIII'!D$14:I$91,6,0)</f>
        <v>6113663808</v>
      </c>
      <c r="G34" s="54" t="s">
        <v>36</v>
      </c>
      <c r="H34" s="55">
        <v>24</v>
      </c>
      <c r="I34" s="55">
        <v>0</v>
      </c>
      <c r="J34" s="55">
        <v>0</v>
      </c>
      <c r="K34" s="55">
        <f t="shared" si="4"/>
        <v>24</v>
      </c>
      <c r="L34" s="56">
        <v>480.77</v>
      </c>
      <c r="M34" s="57">
        <f t="shared" si="5"/>
        <v>11538.48</v>
      </c>
      <c r="N34" s="57">
        <v>37</v>
      </c>
      <c r="O34" s="57">
        <f t="shared" si="6"/>
        <v>2224</v>
      </c>
      <c r="P34" s="58">
        <f t="shared" si="0"/>
        <v>13762.48</v>
      </c>
      <c r="Q34" s="57">
        <f t="shared" si="1"/>
        <v>1385</v>
      </c>
      <c r="R34" s="57">
        <f t="shared" si="7"/>
        <v>103</v>
      </c>
      <c r="S34" s="57">
        <v>300</v>
      </c>
      <c r="T34" s="58">
        <f t="shared" si="2"/>
        <v>1788</v>
      </c>
      <c r="U34" s="58">
        <f t="shared" si="3"/>
        <v>11974.48</v>
      </c>
      <c r="V34" s="59"/>
      <c r="W34" s="60"/>
    </row>
    <row r="35" spans="1:23" ht="18" x14ac:dyDescent="0.35">
      <c r="A35" s="45">
        <v>25</v>
      </c>
      <c r="B35" s="46">
        <v>72232192</v>
      </c>
      <c r="C35" s="47" t="s">
        <v>61</v>
      </c>
      <c r="D35" s="51" t="str">
        <f>VLOOKUP(B35,'[1]FORM XIII'!D$1:G$65536,4,0)</f>
        <v>NARESH</v>
      </c>
      <c r="E35" s="52" t="str">
        <f>VLOOKUP(B35,'[1]FORM XIII'!D$14:I$91,5,0)</f>
        <v>101402663952</v>
      </c>
      <c r="F35" s="53" t="str">
        <f>VLOOKUP(B35,'[1]FORM XIII'!D$14:I$91,6,0)</f>
        <v>6112670923</v>
      </c>
      <c r="G35" s="54" t="s">
        <v>36</v>
      </c>
      <c r="H35" s="55">
        <v>14</v>
      </c>
      <c r="I35" s="55">
        <v>0</v>
      </c>
      <c r="J35" s="55">
        <v>0</v>
      </c>
      <c r="K35" s="55">
        <f t="shared" si="4"/>
        <v>14</v>
      </c>
      <c r="L35" s="56">
        <v>480.77</v>
      </c>
      <c r="M35" s="57">
        <f t="shared" si="5"/>
        <v>6730.78</v>
      </c>
      <c r="N35" s="57">
        <v>0</v>
      </c>
      <c r="O35" s="57">
        <f t="shared" si="6"/>
        <v>0</v>
      </c>
      <c r="P35" s="58">
        <f t="shared" si="0"/>
        <v>6730.78</v>
      </c>
      <c r="Q35" s="57">
        <f t="shared" si="1"/>
        <v>808</v>
      </c>
      <c r="R35" s="57">
        <f t="shared" si="7"/>
        <v>50</v>
      </c>
      <c r="S35" s="57"/>
      <c r="T35" s="58">
        <f t="shared" si="2"/>
        <v>858</v>
      </c>
      <c r="U35" s="58">
        <f t="shared" si="3"/>
        <v>5872.78</v>
      </c>
      <c r="V35" s="59"/>
      <c r="W35" s="60"/>
    </row>
    <row r="36" spans="1:23" ht="18" x14ac:dyDescent="0.35">
      <c r="A36" s="45">
        <v>26</v>
      </c>
      <c r="B36" s="46">
        <v>72232195</v>
      </c>
      <c r="C36" s="47" t="s">
        <v>62</v>
      </c>
      <c r="D36" s="51" t="str">
        <f>VLOOKUP(B36,'[1]FORM XIII'!D$1:G$65536,4,0)</f>
        <v>SURAT SINGH</v>
      </c>
      <c r="E36" s="52" t="str">
        <f>VLOOKUP(B36,'[1]FORM XIII'!D$14:I$91,5,0)</f>
        <v>101574932657</v>
      </c>
      <c r="F36" s="53" t="str">
        <f>VLOOKUP(B36,'[1]FORM XIII'!D$14:I$91,6,0)</f>
        <v>6113400574</v>
      </c>
      <c r="G36" s="54" t="s">
        <v>36</v>
      </c>
      <c r="H36" s="55">
        <v>24</v>
      </c>
      <c r="I36" s="55">
        <v>0</v>
      </c>
      <c r="J36" s="55">
        <v>0</v>
      </c>
      <c r="K36" s="55">
        <f t="shared" si="4"/>
        <v>24</v>
      </c>
      <c r="L36" s="56">
        <v>480.77</v>
      </c>
      <c r="M36" s="57">
        <f t="shared" si="5"/>
        <v>11538.48</v>
      </c>
      <c r="N36" s="57">
        <v>28</v>
      </c>
      <c r="O36" s="57">
        <f t="shared" si="6"/>
        <v>1683</v>
      </c>
      <c r="P36" s="58">
        <f t="shared" si="0"/>
        <v>13221.48</v>
      </c>
      <c r="Q36" s="57">
        <f t="shared" si="1"/>
        <v>1385</v>
      </c>
      <c r="R36" s="57">
        <f t="shared" si="7"/>
        <v>99</v>
      </c>
      <c r="S36" s="57"/>
      <c r="T36" s="58">
        <f t="shared" si="2"/>
        <v>1484</v>
      </c>
      <c r="U36" s="58">
        <f t="shared" si="3"/>
        <v>11737.48</v>
      </c>
      <c r="V36" s="59"/>
      <c r="W36" s="60"/>
    </row>
    <row r="37" spans="1:23" ht="18" x14ac:dyDescent="0.35">
      <c r="A37" s="45">
        <v>27</v>
      </c>
      <c r="B37" s="46">
        <v>72232196</v>
      </c>
      <c r="C37" s="47" t="s">
        <v>59</v>
      </c>
      <c r="D37" s="51" t="str">
        <f>VLOOKUP(B37,'[1]FORM XIII'!D$1:G$65536,4,0)</f>
        <v>JOGINDRA</v>
      </c>
      <c r="E37" s="52" t="str">
        <f>VLOOKUP(B37,'[1]FORM XIII'!D$14:I$91,5,0)</f>
        <v>101380515210</v>
      </c>
      <c r="F37" s="53" t="str">
        <f>VLOOKUP(B37,'[1]FORM XIII'!D$14:I$91,6,0)</f>
        <v>6113104072</v>
      </c>
      <c r="G37" s="54" t="s">
        <v>36</v>
      </c>
      <c r="H37" s="55">
        <v>25</v>
      </c>
      <c r="I37" s="55">
        <v>0</v>
      </c>
      <c r="J37" s="55">
        <v>0</v>
      </c>
      <c r="K37" s="55">
        <f t="shared" si="4"/>
        <v>25</v>
      </c>
      <c r="L37" s="56">
        <v>480.77</v>
      </c>
      <c r="M37" s="57">
        <f t="shared" si="5"/>
        <v>12019.25</v>
      </c>
      <c r="N37" s="57">
        <v>0</v>
      </c>
      <c r="O37" s="57">
        <f t="shared" si="6"/>
        <v>0</v>
      </c>
      <c r="P37" s="58">
        <f t="shared" si="0"/>
        <v>12019.25</v>
      </c>
      <c r="Q37" s="57">
        <f t="shared" si="1"/>
        <v>1442</v>
      </c>
      <c r="R37" s="57">
        <f t="shared" si="7"/>
        <v>90</v>
      </c>
      <c r="S37" s="57">
        <v>100</v>
      </c>
      <c r="T37" s="58">
        <f t="shared" si="2"/>
        <v>1632</v>
      </c>
      <c r="U37" s="58">
        <f t="shared" si="3"/>
        <v>10387.25</v>
      </c>
      <c r="V37" s="59"/>
      <c r="W37" s="60"/>
    </row>
    <row r="38" spans="1:23" ht="18" x14ac:dyDescent="0.35">
      <c r="A38" s="45">
        <v>28</v>
      </c>
      <c r="B38" s="46">
        <v>99122390</v>
      </c>
      <c r="C38" s="47" t="s">
        <v>63</v>
      </c>
      <c r="D38" s="51" t="str">
        <f>VLOOKUP(B38,'[1]FORM XIII'!D$1:G$65536,4,0)</f>
        <v>RIYASAT</v>
      </c>
      <c r="E38" s="52" t="str">
        <f>VLOOKUP(B38,'[1]FORM XIII'!D$14:I$91,5,0)</f>
        <v>101623418038</v>
      </c>
      <c r="F38" s="53" t="str">
        <f>VLOOKUP(B38,'[1]FORM XIII'!D$14:I$91,6,0)</f>
        <v>6113837571</v>
      </c>
      <c r="G38" s="54" t="s">
        <v>36</v>
      </c>
      <c r="H38" s="55">
        <v>13</v>
      </c>
      <c r="I38" s="55">
        <v>0</v>
      </c>
      <c r="J38" s="55">
        <v>0</v>
      </c>
      <c r="K38" s="55">
        <f t="shared" si="4"/>
        <v>13</v>
      </c>
      <c r="L38" s="56">
        <v>480.77</v>
      </c>
      <c r="M38" s="57">
        <f t="shared" si="5"/>
        <v>6250.01</v>
      </c>
      <c r="N38" s="57">
        <v>1</v>
      </c>
      <c r="O38" s="57">
        <f t="shared" si="6"/>
        <v>60</v>
      </c>
      <c r="P38" s="58">
        <f t="shared" si="0"/>
        <v>6310.01</v>
      </c>
      <c r="Q38" s="57">
        <f t="shared" si="1"/>
        <v>750</v>
      </c>
      <c r="R38" s="57">
        <f t="shared" si="7"/>
        <v>47</v>
      </c>
      <c r="S38" s="57">
        <v>300</v>
      </c>
      <c r="T38" s="58">
        <f t="shared" si="2"/>
        <v>1097</v>
      </c>
      <c r="U38" s="58">
        <f t="shared" si="3"/>
        <v>5213.01</v>
      </c>
      <c r="V38" s="59"/>
      <c r="W38" s="60"/>
    </row>
    <row r="39" spans="1:23" ht="18" x14ac:dyDescent="0.35">
      <c r="A39" s="45">
        <v>29</v>
      </c>
      <c r="B39" s="46">
        <v>99122481</v>
      </c>
      <c r="C39" s="47" t="s">
        <v>64</v>
      </c>
      <c r="D39" s="51" t="str">
        <f>VLOOKUP(B39,'[1]FORM XIII'!D$1:G$65536,4,0)</f>
        <v>KALLU</v>
      </c>
      <c r="E39" s="52" t="str">
        <f>VLOOKUP(B39,'[1]FORM XIII'!D$14:I$91,5,0)</f>
        <v>101250819007</v>
      </c>
      <c r="F39" s="53" t="str">
        <f>VLOOKUP(B39,'[1]FORM XIII'!D$14:I$91,6,0)</f>
        <v>6111649567</v>
      </c>
      <c r="G39" s="54" t="s">
        <v>36</v>
      </c>
      <c r="H39" s="55">
        <v>20</v>
      </c>
      <c r="I39" s="55">
        <v>0</v>
      </c>
      <c r="J39" s="55">
        <v>0</v>
      </c>
      <c r="K39" s="55">
        <f t="shared" si="4"/>
        <v>20</v>
      </c>
      <c r="L39" s="56">
        <v>480.77</v>
      </c>
      <c r="M39" s="57">
        <f t="shared" si="5"/>
        <v>9615.4</v>
      </c>
      <c r="N39" s="57">
        <v>3</v>
      </c>
      <c r="O39" s="57">
        <f t="shared" si="6"/>
        <v>180</v>
      </c>
      <c r="P39" s="58">
        <f t="shared" si="0"/>
        <v>9795.4</v>
      </c>
      <c r="Q39" s="57">
        <f t="shared" si="1"/>
        <v>1154</v>
      </c>
      <c r="R39" s="57">
        <f t="shared" si="7"/>
        <v>73</v>
      </c>
      <c r="S39" s="57">
        <v>500</v>
      </c>
      <c r="T39" s="58">
        <f t="shared" si="2"/>
        <v>1727</v>
      </c>
      <c r="U39" s="58">
        <f t="shared" si="3"/>
        <v>8068.4</v>
      </c>
      <c r="V39" s="59"/>
      <c r="W39" s="60"/>
    </row>
    <row r="40" spans="1:23" ht="18" x14ac:dyDescent="0.35">
      <c r="A40" s="45">
        <v>30</v>
      </c>
      <c r="B40" s="46">
        <v>99122482</v>
      </c>
      <c r="C40" s="47" t="s">
        <v>65</v>
      </c>
      <c r="D40" s="51" t="str">
        <f>VLOOKUP(B40,'[1]FORM XIII'!D$1:G$65536,4,0)</f>
        <v>NETRPAL SINGH</v>
      </c>
      <c r="E40" s="52" t="str">
        <f>VLOOKUP(B40,'[1]FORM XIII'!D$14:I$91,5,0)</f>
        <v>101972448634</v>
      </c>
      <c r="F40" s="53" t="str">
        <f>VLOOKUP(B40,'[1]FORM XIII'!D$14:I$91,6,0)</f>
        <v>6113759038</v>
      </c>
      <c r="G40" s="54" t="s">
        <v>36</v>
      </c>
      <c r="H40" s="55">
        <v>15</v>
      </c>
      <c r="I40" s="55">
        <v>0</v>
      </c>
      <c r="J40" s="55">
        <v>0</v>
      </c>
      <c r="K40" s="55">
        <f t="shared" si="4"/>
        <v>15</v>
      </c>
      <c r="L40" s="56">
        <v>480.77</v>
      </c>
      <c r="M40" s="57">
        <f t="shared" si="5"/>
        <v>7211.5499999999993</v>
      </c>
      <c r="N40" s="57">
        <v>0</v>
      </c>
      <c r="O40" s="57">
        <f>ROUND(L40/8*N40,)</f>
        <v>0</v>
      </c>
      <c r="P40" s="58">
        <f>+M40+O40</f>
        <v>7211.5499999999993</v>
      </c>
      <c r="Q40" s="57">
        <f t="shared" si="1"/>
        <v>865</v>
      </c>
      <c r="R40" s="57">
        <f t="shared" si="7"/>
        <v>54</v>
      </c>
      <c r="S40" s="57"/>
      <c r="T40" s="58">
        <f t="shared" si="2"/>
        <v>919</v>
      </c>
      <c r="U40" s="58">
        <f t="shared" si="3"/>
        <v>6292.5499999999993</v>
      </c>
      <c r="V40" s="59"/>
      <c r="W40" s="60"/>
    </row>
    <row r="41" spans="1:23" ht="18" x14ac:dyDescent="0.35">
      <c r="A41" s="45">
        <v>31</v>
      </c>
      <c r="B41" s="46">
        <v>99122483</v>
      </c>
      <c r="C41" s="47" t="s">
        <v>66</v>
      </c>
      <c r="D41" s="51" t="str">
        <f>VLOOKUP(B41,'[1]FORM XIII'!D$1:G$65536,4,0)</f>
        <v>BUDHHU</v>
      </c>
      <c r="E41" s="52" t="str">
        <f>VLOOKUP(B41,'[1]FORM XIII'!D$14:I$91,5,0)</f>
        <v>101235076797</v>
      </c>
      <c r="F41" s="53" t="str">
        <f>VLOOKUP(B41,'[1]FORM XIII'!D$14:I$91,6,0)</f>
        <v>6111756723</v>
      </c>
      <c r="G41" s="54" t="s">
        <v>36</v>
      </c>
      <c r="H41" s="55">
        <v>14</v>
      </c>
      <c r="I41" s="55">
        <v>0</v>
      </c>
      <c r="J41" s="55">
        <v>0</v>
      </c>
      <c r="K41" s="55">
        <f t="shared" si="4"/>
        <v>14</v>
      </c>
      <c r="L41" s="56">
        <v>480.77</v>
      </c>
      <c r="M41" s="57">
        <f t="shared" si="5"/>
        <v>6730.78</v>
      </c>
      <c r="N41" s="57">
        <v>8</v>
      </c>
      <c r="O41" s="57">
        <f>ROUND(L41/8*N41,)</f>
        <v>481</v>
      </c>
      <c r="P41" s="58">
        <f>+M41+O41</f>
        <v>7211.78</v>
      </c>
      <c r="Q41" s="57">
        <f t="shared" si="1"/>
        <v>808</v>
      </c>
      <c r="R41" s="57">
        <f t="shared" si="7"/>
        <v>54</v>
      </c>
      <c r="S41" s="57">
        <v>600</v>
      </c>
      <c r="T41" s="58">
        <f t="shared" si="2"/>
        <v>1462</v>
      </c>
      <c r="U41" s="58">
        <f t="shared" si="3"/>
        <v>5749.78</v>
      </c>
      <c r="V41" s="59"/>
      <c r="W41" s="60"/>
    </row>
    <row r="42" spans="1:23" ht="18" x14ac:dyDescent="0.35">
      <c r="A42" s="45">
        <v>32</v>
      </c>
      <c r="B42" s="46">
        <v>99132036</v>
      </c>
      <c r="C42" s="47" t="s">
        <v>67</v>
      </c>
      <c r="D42" s="51" t="str">
        <f>VLOOKUP(B42,'[1]FORM XIII'!D$1:G$65536,4,0)</f>
        <v>KALURAM</v>
      </c>
      <c r="E42" s="52" t="str">
        <f>VLOOKUP(B42,'[1]FORM XIII'!D$14:I$91,5,0)</f>
        <v>101845492274</v>
      </c>
      <c r="F42" s="53" t="str">
        <f>VLOOKUP(B42,'[1]FORM XIII'!D$14:I$91,6,0)</f>
        <v>6112963453</v>
      </c>
      <c r="G42" s="54" t="s">
        <v>36</v>
      </c>
      <c r="H42" s="55">
        <v>26</v>
      </c>
      <c r="I42" s="55">
        <v>0</v>
      </c>
      <c r="J42" s="55">
        <v>0</v>
      </c>
      <c r="K42" s="55">
        <f t="shared" si="4"/>
        <v>26</v>
      </c>
      <c r="L42" s="56">
        <v>480.77</v>
      </c>
      <c r="M42" s="57">
        <f t="shared" si="5"/>
        <v>12500.02</v>
      </c>
      <c r="N42" s="57">
        <v>52</v>
      </c>
      <c r="O42" s="57">
        <f t="shared" si="6"/>
        <v>3125</v>
      </c>
      <c r="P42" s="58">
        <f t="shared" si="0"/>
        <v>15625.02</v>
      </c>
      <c r="Q42" s="57">
        <f t="shared" si="1"/>
        <v>1500</v>
      </c>
      <c r="R42" s="57">
        <f t="shared" si="7"/>
        <v>117</v>
      </c>
      <c r="S42" s="57"/>
      <c r="T42" s="58">
        <f t="shared" si="2"/>
        <v>1617</v>
      </c>
      <c r="U42" s="58">
        <f t="shared" si="3"/>
        <v>14008.02</v>
      </c>
      <c r="V42" s="59"/>
      <c r="W42" s="60"/>
    </row>
    <row r="43" spans="1:23" ht="18" x14ac:dyDescent="0.35">
      <c r="A43" s="45">
        <v>33</v>
      </c>
      <c r="B43" s="46">
        <v>99132326</v>
      </c>
      <c r="C43" s="47" t="s">
        <v>68</v>
      </c>
      <c r="D43" s="51" t="str">
        <f>VLOOKUP(B43,'[1]FORM XIII'!D$1:G$65536,4,0)</f>
        <v>JAHANGEER</v>
      </c>
      <c r="E43" s="52" t="str">
        <f>VLOOKUP(B43,'[1]FORM XIII'!D$14:I$91,5,0)</f>
        <v>101611317313</v>
      </c>
      <c r="F43" s="53" t="str">
        <f>VLOOKUP(B43,'[1]FORM XIII'!D$14:I$91,6,0)</f>
        <v>6112478377</v>
      </c>
      <c r="G43" s="54" t="s">
        <v>36</v>
      </c>
      <c r="H43" s="55">
        <v>25</v>
      </c>
      <c r="I43" s="55">
        <v>0</v>
      </c>
      <c r="J43" s="55">
        <v>0</v>
      </c>
      <c r="K43" s="55">
        <f t="shared" si="4"/>
        <v>25</v>
      </c>
      <c r="L43" s="56">
        <v>480.77</v>
      </c>
      <c r="M43" s="57">
        <f t="shared" si="5"/>
        <v>12019.25</v>
      </c>
      <c r="N43" s="57">
        <v>16</v>
      </c>
      <c r="O43" s="57">
        <f t="shared" si="6"/>
        <v>962</v>
      </c>
      <c r="P43" s="58">
        <f t="shared" si="0"/>
        <v>12981.25</v>
      </c>
      <c r="Q43" s="57">
        <f t="shared" si="1"/>
        <v>1442</v>
      </c>
      <c r="R43" s="57">
        <f t="shared" si="7"/>
        <v>97</v>
      </c>
      <c r="S43" s="57"/>
      <c r="T43" s="58">
        <f t="shared" si="2"/>
        <v>1539</v>
      </c>
      <c r="U43" s="58">
        <f t="shared" si="3"/>
        <v>11442.25</v>
      </c>
      <c r="V43" s="59"/>
      <c r="W43" s="60"/>
    </row>
    <row r="44" spans="1:23" ht="18" x14ac:dyDescent="0.35">
      <c r="A44" s="45">
        <v>34</v>
      </c>
      <c r="B44" s="46">
        <v>99133051</v>
      </c>
      <c r="C44" s="47" t="s">
        <v>69</v>
      </c>
      <c r="D44" s="51" t="str">
        <f>VLOOKUP(B44,'[1]FORM XIII'!D$1:G$65536,4,0)</f>
        <v>PARVEJ ALAM</v>
      </c>
      <c r="E44" s="52" t="str">
        <f>VLOOKUP(B44,'[1]FORM XIII'!D$14:I$91,5,0)</f>
        <v>101508321825</v>
      </c>
      <c r="F44" s="53" t="str">
        <f>VLOOKUP(B44,'[1]FORM XIII'!D$14:I$91,6,0)</f>
        <v>6112111749</v>
      </c>
      <c r="G44" s="54" t="s">
        <v>36</v>
      </c>
      <c r="H44" s="55">
        <v>19</v>
      </c>
      <c r="I44" s="55">
        <v>0</v>
      </c>
      <c r="J44" s="55">
        <v>0</v>
      </c>
      <c r="K44" s="55">
        <f t="shared" si="4"/>
        <v>19</v>
      </c>
      <c r="L44" s="56">
        <v>480.77</v>
      </c>
      <c r="M44" s="57">
        <f t="shared" si="5"/>
        <v>9134.6299999999992</v>
      </c>
      <c r="N44" s="57">
        <v>12</v>
      </c>
      <c r="O44" s="57">
        <f t="shared" si="6"/>
        <v>721</v>
      </c>
      <c r="P44" s="58">
        <f t="shared" si="0"/>
        <v>9855.6299999999992</v>
      </c>
      <c r="Q44" s="57">
        <f t="shared" si="1"/>
        <v>1096</v>
      </c>
      <c r="R44" s="57">
        <f t="shared" si="7"/>
        <v>74</v>
      </c>
      <c r="S44" s="57"/>
      <c r="T44" s="58">
        <f t="shared" si="2"/>
        <v>1170</v>
      </c>
      <c r="U44" s="58">
        <f t="shared" si="3"/>
        <v>8685.6299999999992</v>
      </c>
      <c r="V44" s="59"/>
      <c r="W44" s="60"/>
    </row>
    <row r="45" spans="1:23" ht="18" x14ac:dyDescent="0.35">
      <c r="A45" s="45">
        <v>35</v>
      </c>
      <c r="B45" s="46">
        <v>99133848</v>
      </c>
      <c r="C45" s="47" t="s">
        <v>70</v>
      </c>
      <c r="D45" s="51" t="str">
        <f>VLOOKUP(B45,'[1]FORM XIII'!D$1:G$65536,4,0)</f>
        <v>SHAKIL AHAMAD</v>
      </c>
      <c r="E45" s="52" t="str">
        <f>VLOOKUP(B45,'[1]FORM XIII'!D$14:I$91,5,0)</f>
        <v>102077193786</v>
      </c>
      <c r="F45" s="53" t="str">
        <f>VLOOKUP(B45,'[1]FORM XIII'!D$14:I$91,6,0)</f>
        <v>6114182147</v>
      </c>
      <c r="G45" s="54" t="s">
        <v>36</v>
      </c>
      <c r="H45" s="55">
        <v>20</v>
      </c>
      <c r="I45" s="55">
        <v>0</v>
      </c>
      <c r="J45" s="55">
        <v>0</v>
      </c>
      <c r="K45" s="55">
        <f t="shared" si="4"/>
        <v>20</v>
      </c>
      <c r="L45" s="56">
        <v>480.77</v>
      </c>
      <c r="M45" s="57">
        <f t="shared" si="5"/>
        <v>9615.4</v>
      </c>
      <c r="N45" s="57">
        <v>15</v>
      </c>
      <c r="O45" s="57">
        <f t="shared" si="6"/>
        <v>901</v>
      </c>
      <c r="P45" s="58">
        <f t="shared" si="0"/>
        <v>10516.4</v>
      </c>
      <c r="Q45" s="57">
        <f t="shared" si="1"/>
        <v>1154</v>
      </c>
      <c r="R45" s="57">
        <f t="shared" si="7"/>
        <v>79</v>
      </c>
      <c r="S45" s="57">
        <v>200</v>
      </c>
      <c r="T45" s="58">
        <f t="shared" si="2"/>
        <v>1433</v>
      </c>
      <c r="U45" s="58">
        <f t="shared" si="3"/>
        <v>9083.4</v>
      </c>
      <c r="V45" s="59"/>
      <c r="W45" s="60"/>
    </row>
    <row r="46" spans="1:23" ht="18" x14ac:dyDescent="0.35">
      <c r="A46" s="45">
        <v>36</v>
      </c>
      <c r="B46" s="46">
        <v>99134608</v>
      </c>
      <c r="C46" s="47" t="s">
        <v>71</v>
      </c>
      <c r="D46" s="51" t="str">
        <f>VLOOKUP(B46,'[1]FORM XIII'!D$1:G$65536,4,0)</f>
        <v>IRFAN</v>
      </c>
      <c r="E46" s="52" t="str">
        <f>VLOOKUP(B46,'[1]FORM XIII'!D$14:I$91,5,0)</f>
        <v>102121985279</v>
      </c>
      <c r="F46" s="53" t="str">
        <f>VLOOKUP(B46,'[1]FORM XIII'!D$14:I$91,6,0)</f>
        <v>6114350935</v>
      </c>
      <c r="G46" s="54" t="s">
        <v>36</v>
      </c>
      <c r="H46" s="55">
        <v>21</v>
      </c>
      <c r="I46" s="55">
        <v>0</v>
      </c>
      <c r="J46" s="55">
        <v>0</v>
      </c>
      <c r="K46" s="55">
        <f t="shared" si="4"/>
        <v>21</v>
      </c>
      <c r="L46" s="56">
        <v>480.77</v>
      </c>
      <c r="M46" s="57">
        <f t="shared" si="5"/>
        <v>10096.17</v>
      </c>
      <c r="N46" s="57">
        <v>15</v>
      </c>
      <c r="O46" s="57">
        <f t="shared" si="6"/>
        <v>901</v>
      </c>
      <c r="P46" s="58">
        <f t="shared" si="0"/>
        <v>10997.17</v>
      </c>
      <c r="Q46" s="57">
        <f t="shared" si="1"/>
        <v>1212</v>
      </c>
      <c r="R46" s="57">
        <f t="shared" si="7"/>
        <v>82</v>
      </c>
      <c r="S46" s="57"/>
      <c r="T46" s="58">
        <f t="shared" si="2"/>
        <v>1294</v>
      </c>
      <c r="U46" s="58">
        <f t="shared" si="3"/>
        <v>9703.17</v>
      </c>
      <c r="V46" s="59"/>
      <c r="W46" s="60"/>
    </row>
    <row r="47" spans="1:23" ht="18" x14ac:dyDescent="0.35">
      <c r="A47" s="45">
        <v>37</v>
      </c>
      <c r="B47" s="46">
        <v>99134609</v>
      </c>
      <c r="C47" s="47" t="s">
        <v>72</v>
      </c>
      <c r="D47" s="51" t="str">
        <f>VLOOKUP(B47,'[1]FORM XIII'!D$1:G$65536,4,0)</f>
        <v>JAGDEESH</v>
      </c>
      <c r="E47" s="52" t="str">
        <f>VLOOKUP(B47,'[1]FORM XIII'!D$14:I$91,5,0)</f>
        <v>101825802709</v>
      </c>
      <c r="F47" s="53" t="str">
        <f>VLOOKUP(B47,'[1]FORM XIII'!D$14:I$91,6,0)</f>
        <v>6114305172</v>
      </c>
      <c r="G47" s="54" t="s">
        <v>36</v>
      </c>
      <c r="H47" s="55">
        <v>19</v>
      </c>
      <c r="I47" s="55">
        <v>0</v>
      </c>
      <c r="J47" s="55">
        <v>0</v>
      </c>
      <c r="K47" s="55">
        <f t="shared" si="4"/>
        <v>19</v>
      </c>
      <c r="L47" s="56">
        <v>480.77</v>
      </c>
      <c r="M47" s="57">
        <f t="shared" si="5"/>
        <v>9134.6299999999992</v>
      </c>
      <c r="N47" s="57">
        <v>21</v>
      </c>
      <c r="O47" s="57">
        <f t="shared" si="6"/>
        <v>1262</v>
      </c>
      <c r="P47" s="58">
        <f t="shared" si="0"/>
        <v>10396.629999999999</v>
      </c>
      <c r="Q47" s="57">
        <f t="shared" si="1"/>
        <v>1096</v>
      </c>
      <c r="R47" s="57">
        <f t="shared" si="7"/>
        <v>78</v>
      </c>
      <c r="S47" s="57"/>
      <c r="T47" s="58">
        <f t="shared" si="2"/>
        <v>1174</v>
      </c>
      <c r="U47" s="58">
        <f t="shared" si="3"/>
        <v>9222.6299999999992</v>
      </c>
      <c r="V47" s="59"/>
      <c r="W47" s="60"/>
    </row>
    <row r="48" spans="1:23" ht="18" x14ac:dyDescent="0.35">
      <c r="A48" s="45">
        <v>38</v>
      </c>
      <c r="B48" s="46">
        <v>99134667</v>
      </c>
      <c r="C48" s="47" t="s">
        <v>73</v>
      </c>
      <c r="D48" s="51" t="str">
        <f>VLOOKUP(B48,'[1]FORM XIII'!D$1:G$65536,4,0)</f>
        <v>SEWA RAM</v>
      </c>
      <c r="E48" s="52" t="str">
        <f>VLOOKUP(B48,'[1]FORM XIII'!D$14:I$91,5,0)</f>
        <v>101518399199</v>
      </c>
      <c r="F48" s="53" t="str">
        <f>VLOOKUP(B48,'[1]FORM XIII'!D$14:I$91,6,0)</f>
        <v>6114379212</v>
      </c>
      <c r="G48" s="54" t="s">
        <v>36</v>
      </c>
      <c r="H48" s="55">
        <v>21</v>
      </c>
      <c r="I48" s="55">
        <v>0</v>
      </c>
      <c r="J48" s="55">
        <v>0</v>
      </c>
      <c r="K48" s="55">
        <f t="shared" si="4"/>
        <v>21</v>
      </c>
      <c r="L48" s="56">
        <v>480.77</v>
      </c>
      <c r="M48" s="57">
        <f t="shared" si="5"/>
        <v>10096.17</v>
      </c>
      <c r="N48" s="57">
        <v>36</v>
      </c>
      <c r="O48" s="57">
        <f t="shared" si="6"/>
        <v>2163</v>
      </c>
      <c r="P48" s="58">
        <f t="shared" si="0"/>
        <v>12259.17</v>
      </c>
      <c r="Q48" s="57">
        <f t="shared" si="1"/>
        <v>1212</v>
      </c>
      <c r="R48" s="57">
        <f t="shared" si="7"/>
        <v>92</v>
      </c>
      <c r="S48" s="57"/>
      <c r="T48" s="58">
        <f t="shared" si="2"/>
        <v>1304</v>
      </c>
      <c r="U48" s="58">
        <f t="shared" si="3"/>
        <v>10955.17</v>
      </c>
      <c r="V48" s="59"/>
      <c r="W48" s="60"/>
    </row>
    <row r="49" spans="1:23" ht="18" x14ac:dyDescent="0.35">
      <c r="A49" s="45">
        <v>39</v>
      </c>
      <c r="B49" s="46">
        <v>99134670</v>
      </c>
      <c r="C49" s="47" t="s">
        <v>74</v>
      </c>
      <c r="D49" s="51" t="str">
        <f>VLOOKUP(B49,'[1]FORM XIII'!D$1:G$65536,4,0)</f>
        <v>PARDEEP KUMAR</v>
      </c>
      <c r="E49" s="52" t="str">
        <f>VLOOKUP(B49,'[1]FORM XIII'!D$14:I$91,5,0)</f>
        <v>102071110459</v>
      </c>
      <c r="F49" s="53" t="str">
        <f>VLOOKUP(B49,'[1]FORM XIII'!D$14:I$91,6,0)</f>
        <v>6114222968</v>
      </c>
      <c r="G49" s="54" t="s">
        <v>36</v>
      </c>
      <c r="H49" s="55">
        <v>23</v>
      </c>
      <c r="I49" s="55">
        <v>0</v>
      </c>
      <c r="J49" s="55">
        <v>0</v>
      </c>
      <c r="K49" s="55">
        <f t="shared" si="4"/>
        <v>23</v>
      </c>
      <c r="L49" s="56">
        <v>480.77</v>
      </c>
      <c r="M49" s="57">
        <f t="shared" si="5"/>
        <v>11057.71</v>
      </c>
      <c r="N49" s="57">
        <v>18</v>
      </c>
      <c r="O49" s="57">
        <f t="shared" si="6"/>
        <v>1082</v>
      </c>
      <c r="P49" s="58">
        <f t="shared" si="0"/>
        <v>12139.71</v>
      </c>
      <c r="Q49" s="57">
        <f t="shared" si="1"/>
        <v>1327</v>
      </c>
      <c r="R49" s="57">
        <f t="shared" si="7"/>
        <v>91</v>
      </c>
      <c r="S49" s="57">
        <v>24</v>
      </c>
      <c r="T49" s="58">
        <f t="shared" si="2"/>
        <v>1442</v>
      </c>
      <c r="U49" s="58">
        <f t="shared" si="3"/>
        <v>10697.71</v>
      </c>
      <c r="V49" s="59"/>
      <c r="W49" s="60"/>
    </row>
    <row r="50" spans="1:23" ht="18" x14ac:dyDescent="0.35">
      <c r="A50" s="45">
        <v>40</v>
      </c>
      <c r="B50" s="46">
        <v>99134827</v>
      </c>
      <c r="C50" s="47" t="s">
        <v>75</v>
      </c>
      <c r="D50" s="51" t="str">
        <f>VLOOKUP(B50,'[1]FORM XIII'!D$1:G$65536,4,0)</f>
        <v>OMPAL</v>
      </c>
      <c r="E50" s="52" t="str">
        <f>VLOOKUP(B50,'[1]FORM XIII'!D$14:I$91,5,0)</f>
        <v>101958527487</v>
      </c>
      <c r="F50" s="53" t="str">
        <f>VLOOKUP(B50,'[1]FORM XIII'!D$14:I$91,6,0)</f>
        <v>6113712743</v>
      </c>
      <c r="G50" s="54" t="s">
        <v>36</v>
      </c>
      <c r="H50" s="55">
        <v>23</v>
      </c>
      <c r="I50" s="55">
        <v>0</v>
      </c>
      <c r="J50" s="55">
        <v>0</v>
      </c>
      <c r="K50" s="55">
        <f t="shared" si="4"/>
        <v>23</v>
      </c>
      <c r="L50" s="56">
        <v>480.77</v>
      </c>
      <c r="M50" s="57">
        <f t="shared" si="5"/>
        <v>11057.71</v>
      </c>
      <c r="N50" s="57">
        <v>26</v>
      </c>
      <c r="O50" s="57">
        <f t="shared" si="6"/>
        <v>1563</v>
      </c>
      <c r="P50" s="58">
        <f t="shared" si="0"/>
        <v>12620.71</v>
      </c>
      <c r="Q50" s="57">
        <f t="shared" si="1"/>
        <v>1327</v>
      </c>
      <c r="R50" s="57">
        <f t="shared" si="7"/>
        <v>95</v>
      </c>
      <c r="S50" s="57">
        <v>1350</v>
      </c>
      <c r="T50" s="58">
        <f t="shared" si="2"/>
        <v>2772</v>
      </c>
      <c r="U50" s="58">
        <f t="shared" si="3"/>
        <v>9848.7099999999991</v>
      </c>
      <c r="V50" s="59"/>
      <c r="W50" s="60"/>
    </row>
    <row r="51" spans="1:23" ht="18" x14ac:dyDescent="0.35">
      <c r="A51" s="45">
        <v>41</v>
      </c>
      <c r="B51" s="46">
        <v>99134829</v>
      </c>
      <c r="C51" s="47" t="s">
        <v>76</v>
      </c>
      <c r="D51" s="51" t="str">
        <f>VLOOKUP(B51,'[1]FORM XIII'!D$1:G$65536,4,0)</f>
        <v>SOMPAL KASHYAP</v>
      </c>
      <c r="E51" s="52" t="str">
        <f>VLOOKUP(B51,'[1]FORM XIII'!D$14:I$91,5,0)</f>
        <v>102139425206</v>
      </c>
      <c r="F51" s="53" t="str">
        <f>VLOOKUP(B51,'[1]FORM XIII'!D$14:I$91,6,0)</f>
        <v>6114402537</v>
      </c>
      <c r="G51" s="54" t="s">
        <v>36</v>
      </c>
      <c r="H51" s="55">
        <v>20</v>
      </c>
      <c r="I51" s="55">
        <v>0</v>
      </c>
      <c r="J51" s="55">
        <v>0</v>
      </c>
      <c r="K51" s="55">
        <f t="shared" si="4"/>
        <v>20</v>
      </c>
      <c r="L51" s="56">
        <v>480.77</v>
      </c>
      <c r="M51" s="57">
        <f t="shared" si="5"/>
        <v>9615.4</v>
      </c>
      <c r="N51" s="57">
        <v>0</v>
      </c>
      <c r="O51" s="57">
        <f t="shared" si="6"/>
        <v>0</v>
      </c>
      <c r="P51" s="58">
        <f t="shared" si="0"/>
        <v>9615.4</v>
      </c>
      <c r="Q51" s="57">
        <f t="shared" si="1"/>
        <v>1154</v>
      </c>
      <c r="R51" s="57">
        <f t="shared" si="7"/>
        <v>72</v>
      </c>
      <c r="S51" s="57">
        <v>50</v>
      </c>
      <c r="T51" s="58">
        <f t="shared" si="2"/>
        <v>1276</v>
      </c>
      <c r="U51" s="58">
        <f t="shared" si="3"/>
        <v>8339.4</v>
      </c>
      <c r="V51" s="59"/>
      <c r="W51" s="60"/>
    </row>
    <row r="52" spans="1:23" ht="18" x14ac:dyDescent="0.35">
      <c r="A52" s="45">
        <v>42</v>
      </c>
      <c r="B52" s="46">
        <v>99134835</v>
      </c>
      <c r="C52" s="47" t="s">
        <v>77</v>
      </c>
      <c r="D52" s="51" t="str">
        <f>VLOOKUP(B52,'[1]FORM XIII'!D$1:G$65536,4,0)</f>
        <v>PAPPU SINGH</v>
      </c>
      <c r="E52" s="52" t="str">
        <f>VLOOKUP(B52,'[1]FORM XIII'!D$14:I$91,5,0)</f>
        <v>101815765465</v>
      </c>
      <c r="F52" s="53" t="str">
        <f>VLOOKUP(B52,'[1]FORM XIII'!D$14:I$91,6,0)</f>
        <v>6114053041</v>
      </c>
      <c r="G52" s="54" t="s">
        <v>36</v>
      </c>
      <c r="H52" s="55">
        <v>18</v>
      </c>
      <c r="I52" s="55">
        <v>0</v>
      </c>
      <c r="J52" s="55">
        <v>0</v>
      </c>
      <c r="K52" s="55">
        <f t="shared" si="4"/>
        <v>18</v>
      </c>
      <c r="L52" s="56">
        <v>480.77</v>
      </c>
      <c r="M52" s="57">
        <f t="shared" si="5"/>
        <v>8653.86</v>
      </c>
      <c r="N52" s="57">
        <v>21</v>
      </c>
      <c r="O52" s="57">
        <f t="shared" si="6"/>
        <v>1262</v>
      </c>
      <c r="P52" s="58">
        <f t="shared" si="0"/>
        <v>9915.86</v>
      </c>
      <c r="Q52" s="57">
        <f t="shared" si="1"/>
        <v>1038</v>
      </c>
      <c r="R52" s="57">
        <f t="shared" si="7"/>
        <v>74</v>
      </c>
      <c r="S52" s="57"/>
      <c r="T52" s="58">
        <f t="shared" si="2"/>
        <v>1112</v>
      </c>
      <c r="U52" s="58">
        <f t="shared" si="3"/>
        <v>8803.86</v>
      </c>
      <c r="V52" s="59"/>
      <c r="W52" s="60"/>
    </row>
    <row r="53" spans="1:23" ht="18" x14ac:dyDescent="0.35">
      <c r="A53" s="45">
        <v>43</v>
      </c>
      <c r="B53" s="46">
        <v>99134836</v>
      </c>
      <c r="C53" s="47" t="s">
        <v>78</v>
      </c>
      <c r="D53" s="51" t="str">
        <f>VLOOKUP(B53,'[1]FORM XIII'!D$1:G$65536,4,0)</f>
        <v>MUSTAFA</v>
      </c>
      <c r="E53" s="52" t="str">
        <f>VLOOKUP(B53,'[1]FORM XIII'!D$14:I$91,5,0)</f>
        <v>102139499693</v>
      </c>
      <c r="F53" s="53" t="str">
        <f>VLOOKUP(B53,'[1]FORM XIII'!D$14:I$91,6,0)</f>
        <v>6114403152</v>
      </c>
      <c r="G53" s="54" t="s">
        <v>36</v>
      </c>
      <c r="H53" s="55">
        <v>14</v>
      </c>
      <c r="I53" s="55">
        <v>0</v>
      </c>
      <c r="J53" s="55">
        <v>0</v>
      </c>
      <c r="K53" s="55">
        <f t="shared" si="4"/>
        <v>14</v>
      </c>
      <c r="L53" s="56">
        <v>480.77</v>
      </c>
      <c r="M53" s="57">
        <f t="shared" si="5"/>
        <v>6730.78</v>
      </c>
      <c r="N53" s="57">
        <v>8</v>
      </c>
      <c r="O53" s="57">
        <f t="shared" si="6"/>
        <v>481</v>
      </c>
      <c r="P53" s="58">
        <f t="shared" si="0"/>
        <v>7211.78</v>
      </c>
      <c r="Q53" s="57">
        <f t="shared" si="1"/>
        <v>808</v>
      </c>
      <c r="R53" s="57">
        <f t="shared" si="7"/>
        <v>54</v>
      </c>
      <c r="S53" s="57"/>
      <c r="T53" s="58">
        <f t="shared" si="2"/>
        <v>862</v>
      </c>
      <c r="U53" s="58">
        <f t="shared" si="3"/>
        <v>6349.78</v>
      </c>
      <c r="V53" s="59"/>
      <c r="W53" s="60"/>
    </row>
    <row r="54" spans="1:23" ht="18" x14ac:dyDescent="0.35">
      <c r="A54" s="45">
        <v>44</v>
      </c>
      <c r="B54" s="46">
        <v>99123525</v>
      </c>
      <c r="C54" s="47" t="s">
        <v>79</v>
      </c>
      <c r="D54" s="51" t="str">
        <f>VLOOKUP(B54,'[1]FORM XIII'!D$1:G$65536,4,0)</f>
        <v>NARENDRA SINGH</v>
      </c>
      <c r="E54" s="52" t="str">
        <f>VLOOKUP(B54,'[1]FORM XIII'!D$14:I$91,5,0)</f>
        <v>101755360660</v>
      </c>
      <c r="F54" s="53" t="str">
        <f>VLOOKUP(B54,'[1]FORM XIII'!D$14:I$91,6,0)</f>
        <v>6114264835</v>
      </c>
      <c r="G54" s="54" t="s">
        <v>36</v>
      </c>
      <c r="H54" s="55">
        <v>15</v>
      </c>
      <c r="I54" s="55">
        <v>0.375</v>
      </c>
      <c r="J54" s="55">
        <v>0</v>
      </c>
      <c r="K54" s="55">
        <f t="shared" si="4"/>
        <v>14.625</v>
      </c>
      <c r="L54" s="56">
        <v>480.77</v>
      </c>
      <c r="M54" s="57">
        <f t="shared" si="5"/>
        <v>7031.2612499999996</v>
      </c>
      <c r="N54" s="57">
        <v>0</v>
      </c>
      <c r="O54" s="57">
        <f t="shared" si="6"/>
        <v>0</v>
      </c>
      <c r="P54" s="58">
        <f t="shared" si="0"/>
        <v>7031.2612499999996</v>
      </c>
      <c r="Q54" s="57">
        <f t="shared" si="1"/>
        <v>844</v>
      </c>
      <c r="R54" s="57">
        <f t="shared" si="7"/>
        <v>53</v>
      </c>
      <c r="S54" s="57">
        <v>50</v>
      </c>
      <c r="T54" s="58">
        <f t="shared" si="2"/>
        <v>947</v>
      </c>
      <c r="U54" s="58">
        <f t="shared" si="3"/>
        <v>6084.2612499999996</v>
      </c>
      <c r="V54" s="59"/>
      <c r="W54" s="60"/>
    </row>
    <row r="55" spans="1:23" ht="18" x14ac:dyDescent="0.35">
      <c r="A55" s="45">
        <v>45</v>
      </c>
      <c r="B55" s="46">
        <v>99135024</v>
      </c>
      <c r="C55" s="47" t="s">
        <v>80</v>
      </c>
      <c r="D55" s="51" t="str">
        <f>VLOOKUP(B55,'[1]FORM XIII'!D$1:G$65536,4,0)</f>
        <v>NAKLI RAM</v>
      </c>
      <c r="E55" s="52" t="str">
        <f>VLOOKUP(B55,'[1]FORM XIII'!D$14:I$91,5,0)</f>
        <v>101195070111</v>
      </c>
      <c r="F55" s="53" t="str">
        <f>VLOOKUP(B55,'[1]FORM XIII'!D$14:I$91,6,0)</f>
        <v>6111611839</v>
      </c>
      <c r="G55" s="54" t="s">
        <v>36</v>
      </c>
      <c r="H55" s="55">
        <v>17</v>
      </c>
      <c r="I55" s="55">
        <v>0</v>
      </c>
      <c r="J55" s="55">
        <v>0</v>
      </c>
      <c r="K55" s="55">
        <f t="shared" si="4"/>
        <v>17</v>
      </c>
      <c r="L55" s="56">
        <v>480.77</v>
      </c>
      <c r="M55" s="57">
        <f t="shared" si="5"/>
        <v>8173.09</v>
      </c>
      <c r="N55" s="57">
        <v>4</v>
      </c>
      <c r="O55" s="57">
        <f t="shared" si="6"/>
        <v>240</v>
      </c>
      <c r="P55" s="58">
        <f t="shared" si="0"/>
        <v>8413.09</v>
      </c>
      <c r="Q55" s="57">
        <f t="shared" si="1"/>
        <v>981</v>
      </c>
      <c r="R55" s="57">
        <f t="shared" si="7"/>
        <v>63</v>
      </c>
      <c r="S55" s="57">
        <v>186</v>
      </c>
      <c r="T55" s="58">
        <f t="shared" si="2"/>
        <v>1230</v>
      </c>
      <c r="U55" s="58">
        <f t="shared" si="3"/>
        <v>7183.09</v>
      </c>
      <c r="V55" s="59"/>
      <c r="W55" s="60"/>
    </row>
    <row r="56" spans="1:23" ht="18" x14ac:dyDescent="0.35">
      <c r="A56" s="45">
        <v>46</v>
      </c>
      <c r="B56" s="46">
        <v>99135028</v>
      </c>
      <c r="C56" s="47" t="s">
        <v>81</v>
      </c>
      <c r="D56" s="51" t="str">
        <f>VLOOKUP(B56,'[1]FORM XIII'!D$1:G$65536,4,0)</f>
        <v>HASAN</v>
      </c>
      <c r="E56" s="52" t="str">
        <f>VLOOKUP(B56,'[1]FORM XIII'!D$14:I$91,5,0)</f>
        <v>101011530005</v>
      </c>
      <c r="F56" s="53" t="str">
        <f>VLOOKUP(B56,'[1]FORM XIII'!D$14:I$91,6,0)</f>
        <v>6114370942</v>
      </c>
      <c r="G56" s="54" t="s">
        <v>36</v>
      </c>
      <c r="H56" s="55">
        <v>15</v>
      </c>
      <c r="I56" s="55">
        <v>0</v>
      </c>
      <c r="J56" s="55">
        <v>0</v>
      </c>
      <c r="K56" s="55">
        <f t="shared" si="4"/>
        <v>15</v>
      </c>
      <c r="L56" s="56">
        <v>480.77</v>
      </c>
      <c r="M56" s="57">
        <f t="shared" si="5"/>
        <v>7211.5499999999993</v>
      </c>
      <c r="N56" s="57">
        <v>8</v>
      </c>
      <c r="O56" s="57">
        <f t="shared" si="6"/>
        <v>481</v>
      </c>
      <c r="P56" s="58">
        <f t="shared" si="0"/>
        <v>7692.5499999999993</v>
      </c>
      <c r="Q56" s="57">
        <f t="shared" si="1"/>
        <v>865</v>
      </c>
      <c r="R56" s="57">
        <f t="shared" si="7"/>
        <v>58</v>
      </c>
      <c r="S56" s="57">
        <v>50</v>
      </c>
      <c r="T56" s="58">
        <f t="shared" si="2"/>
        <v>973</v>
      </c>
      <c r="U56" s="58">
        <f t="shared" si="3"/>
        <v>6719.5499999999993</v>
      </c>
      <c r="V56" s="59"/>
      <c r="W56" s="60"/>
    </row>
    <row r="57" spans="1:23" ht="18" x14ac:dyDescent="0.35">
      <c r="A57" s="45">
        <v>47</v>
      </c>
      <c r="B57" s="46">
        <v>99135274</v>
      </c>
      <c r="C57" s="47" t="s">
        <v>82</v>
      </c>
      <c r="D57" s="51" t="str">
        <f>VLOOKUP(B57,'[1]FORM XIII'!D$1:G$65536,4,0)</f>
        <v>KRISHNPAL</v>
      </c>
      <c r="E57" s="52" t="str">
        <f>VLOOKUP(B57,'[1]FORM XIII'!D$14:I$91,5,0)</f>
        <v>100698184036</v>
      </c>
      <c r="F57" s="53" t="str">
        <f>VLOOKUP(B57,'[1]FORM XIII'!D$14:I$91,6,0)</f>
        <v>6114464227</v>
      </c>
      <c r="G57" s="54" t="s">
        <v>36</v>
      </c>
      <c r="H57" s="55">
        <v>25</v>
      </c>
      <c r="I57" s="55">
        <v>0</v>
      </c>
      <c r="J57" s="55">
        <v>0</v>
      </c>
      <c r="K57" s="55">
        <f t="shared" si="4"/>
        <v>25</v>
      </c>
      <c r="L57" s="56">
        <v>480.77</v>
      </c>
      <c r="M57" s="57">
        <f t="shared" si="5"/>
        <v>12019.25</v>
      </c>
      <c r="N57" s="57">
        <v>0</v>
      </c>
      <c r="O57" s="57">
        <f t="shared" si="6"/>
        <v>0</v>
      </c>
      <c r="P57" s="58">
        <f t="shared" si="0"/>
        <v>12019.25</v>
      </c>
      <c r="Q57" s="57">
        <f t="shared" si="1"/>
        <v>1442</v>
      </c>
      <c r="R57" s="57">
        <f t="shared" si="7"/>
        <v>90</v>
      </c>
      <c r="S57" s="57">
        <v>100</v>
      </c>
      <c r="T57" s="58">
        <f t="shared" si="2"/>
        <v>1632</v>
      </c>
      <c r="U57" s="58">
        <f t="shared" si="3"/>
        <v>10387.25</v>
      </c>
      <c r="V57" s="59"/>
      <c r="W57" s="60"/>
    </row>
    <row r="58" spans="1:23" ht="18" x14ac:dyDescent="0.35">
      <c r="A58" s="45">
        <v>48</v>
      </c>
      <c r="B58" s="46">
        <v>99135605</v>
      </c>
      <c r="C58" s="47" t="s">
        <v>83</v>
      </c>
      <c r="D58" s="51" t="str">
        <f>VLOOKUP(B58,'[1]FORM XIII'!D$1:G$65536,4,0)</f>
        <v>SHYAM SINGH</v>
      </c>
      <c r="E58" s="52" t="str">
        <f>VLOOKUP(B58,'[1]FORM XIII'!D$14:I$91,5,0)</f>
        <v>102090112067</v>
      </c>
      <c r="F58" s="53"/>
      <c r="G58" s="54" t="s">
        <v>36</v>
      </c>
      <c r="H58" s="55">
        <v>10</v>
      </c>
      <c r="I58" s="55">
        <v>0</v>
      </c>
      <c r="J58" s="55">
        <v>0</v>
      </c>
      <c r="K58" s="55">
        <f t="shared" si="4"/>
        <v>10</v>
      </c>
      <c r="L58" s="56">
        <v>480.77</v>
      </c>
      <c r="M58" s="57">
        <f t="shared" si="5"/>
        <v>4807.7</v>
      </c>
      <c r="N58" s="57">
        <v>6</v>
      </c>
      <c r="O58" s="57">
        <f t="shared" si="6"/>
        <v>361</v>
      </c>
      <c r="P58" s="58">
        <f t="shared" si="0"/>
        <v>5168.7</v>
      </c>
      <c r="Q58" s="57">
        <f t="shared" si="1"/>
        <v>577</v>
      </c>
      <c r="R58" s="57">
        <f t="shared" si="7"/>
        <v>39</v>
      </c>
      <c r="S58" s="57"/>
      <c r="T58" s="58">
        <f>SUM(Q58:S58)</f>
        <v>616</v>
      </c>
      <c r="U58" s="58">
        <f>+P58-T58</f>
        <v>4552.7</v>
      </c>
      <c r="V58" s="59"/>
      <c r="W58" s="60"/>
    </row>
    <row r="59" spans="1:23" ht="18" x14ac:dyDescent="0.35">
      <c r="A59" s="45">
        <v>49</v>
      </c>
      <c r="B59" s="46">
        <v>99135607</v>
      </c>
      <c r="C59" s="47" t="s">
        <v>84</v>
      </c>
      <c r="D59" s="51" t="str">
        <f>VLOOKUP(B59,'[1]FORM XIII'!D$1:G$65536,4,0)</f>
        <v>HUKUM SINGH</v>
      </c>
      <c r="E59" s="52" t="str">
        <f>VLOOKUP(B59,'[1]FORM XIII'!D$14:I$91,5,0)</f>
        <v>102173302156</v>
      </c>
      <c r="F59" s="53"/>
      <c r="G59" s="54" t="s">
        <v>36</v>
      </c>
      <c r="H59" s="55">
        <v>24</v>
      </c>
      <c r="I59" s="55">
        <v>0</v>
      </c>
      <c r="J59" s="55">
        <v>0</v>
      </c>
      <c r="K59" s="55">
        <f t="shared" si="4"/>
        <v>24</v>
      </c>
      <c r="L59" s="56">
        <v>480.77</v>
      </c>
      <c r="M59" s="57">
        <f t="shared" si="5"/>
        <v>11538.48</v>
      </c>
      <c r="N59" s="57">
        <v>7</v>
      </c>
      <c r="O59" s="57">
        <f t="shared" si="6"/>
        <v>421</v>
      </c>
      <c r="P59" s="58">
        <f t="shared" si="0"/>
        <v>11959.48</v>
      </c>
      <c r="Q59" s="57">
        <f t="shared" si="1"/>
        <v>1385</v>
      </c>
      <c r="R59" s="57">
        <f t="shared" si="7"/>
        <v>90</v>
      </c>
      <c r="S59" s="57">
        <v>300</v>
      </c>
      <c r="T59" s="58">
        <f>SUM(Q59:S59)</f>
        <v>1775</v>
      </c>
      <c r="U59" s="58">
        <f>+P59-T59</f>
        <v>10184.48</v>
      </c>
      <c r="V59" s="59"/>
      <c r="W59" s="60"/>
    </row>
    <row r="60" spans="1:23" ht="18" x14ac:dyDescent="0.35">
      <c r="A60" s="45">
        <v>50</v>
      </c>
      <c r="B60" s="46">
        <v>99135611</v>
      </c>
      <c r="C60" s="47" t="s">
        <v>85</v>
      </c>
      <c r="D60" s="51" t="str">
        <f>VLOOKUP(B60,'[1]FORM XIII'!D$1:G$65536,4,0)</f>
        <v>SUMMARA</v>
      </c>
      <c r="E60" s="52" t="str">
        <f>VLOOKUP(B60,'[1]FORM XIII'!D$14:I$91,5,0)</f>
        <v>101426106691</v>
      </c>
      <c r="F60" s="53"/>
      <c r="G60" s="54" t="s">
        <v>36</v>
      </c>
      <c r="H60" s="55">
        <v>14</v>
      </c>
      <c r="I60" s="55">
        <v>0</v>
      </c>
      <c r="J60" s="55">
        <v>0</v>
      </c>
      <c r="K60" s="55">
        <f t="shared" si="4"/>
        <v>14</v>
      </c>
      <c r="L60" s="56">
        <v>480.77</v>
      </c>
      <c r="M60" s="57">
        <f t="shared" si="5"/>
        <v>6730.78</v>
      </c>
      <c r="N60" s="57">
        <v>20</v>
      </c>
      <c r="O60" s="57">
        <f t="shared" si="6"/>
        <v>1202</v>
      </c>
      <c r="P60" s="58">
        <f t="shared" si="0"/>
        <v>7932.78</v>
      </c>
      <c r="Q60" s="57">
        <f t="shared" si="1"/>
        <v>808</v>
      </c>
      <c r="R60" s="57">
        <f t="shared" si="7"/>
        <v>59</v>
      </c>
      <c r="S60" s="57"/>
      <c r="T60" s="58">
        <f>SUM(Q60:S60)</f>
        <v>867</v>
      </c>
      <c r="U60" s="58">
        <f>+P60-T60</f>
        <v>7065.78</v>
      </c>
      <c r="V60" s="59"/>
      <c r="W60" s="60"/>
    </row>
    <row r="61" spans="1:23" ht="18" x14ac:dyDescent="0.35">
      <c r="A61" s="45">
        <v>51</v>
      </c>
      <c r="B61" s="46">
        <v>99135760</v>
      </c>
      <c r="C61" s="47" t="s">
        <v>86</v>
      </c>
      <c r="D61" s="51" t="str">
        <f>VLOOKUP(B61,'[1]FORM XIII'!D$1:G$65536,4,0)</f>
        <v>DHARAMVEER</v>
      </c>
      <c r="E61" s="52" t="str">
        <f>VLOOKUP(B61,'[1]FORM XIII'!D$14:I$91,5,0)</f>
        <v>100988958654</v>
      </c>
      <c r="F61" s="53"/>
      <c r="G61" s="54" t="s">
        <v>36</v>
      </c>
      <c r="H61" s="55">
        <v>21</v>
      </c>
      <c r="I61" s="55">
        <v>0</v>
      </c>
      <c r="J61" s="55">
        <v>0</v>
      </c>
      <c r="K61" s="55">
        <f t="shared" si="4"/>
        <v>21</v>
      </c>
      <c r="L61" s="56">
        <v>480.77</v>
      </c>
      <c r="M61" s="57">
        <f t="shared" si="5"/>
        <v>10096.17</v>
      </c>
      <c r="N61" s="57">
        <v>20</v>
      </c>
      <c r="O61" s="57">
        <f t="shared" si="6"/>
        <v>1202</v>
      </c>
      <c r="P61" s="58">
        <f t="shared" si="0"/>
        <v>11298.17</v>
      </c>
      <c r="Q61" s="57">
        <f t="shared" si="1"/>
        <v>1212</v>
      </c>
      <c r="R61" s="57">
        <f t="shared" si="7"/>
        <v>85</v>
      </c>
      <c r="S61" s="57"/>
      <c r="T61" s="58">
        <f t="shared" ref="T61:T103" si="8">SUM(Q61:S61)</f>
        <v>1297</v>
      </c>
      <c r="U61" s="58">
        <f t="shared" ref="U61:U103" si="9">+P61-T61</f>
        <v>10001.17</v>
      </c>
      <c r="V61" s="59"/>
      <c r="W61" s="60"/>
    </row>
    <row r="62" spans="1:23" ht="18" x14ac:dyDescent="0.35">
      <c r="A62" s="45">
        <v>52</v>
      </c>
      <c r="B62" s="46">
        <v>72232205</v>
      </c>
      <c r="C62" s="47" t="s">
        <v>87</v>
      </c>
      <c r="D62" s="51" t="str">
        <f>VLOOKUP(B62,'[1]FORM XIII'!D$1:G$65536,4,0)</f>
        <v>AJAYPAL</v>
      </c>
      <c r="E62" s="52" t="str">
        <f>VLOOKUP(B62,'[1]FORM XIII'!D$14:I$91,5,0)</f>
        <v>101358281203</v>
      </c>
      <c r="F62" s="53"/>
      <c r="G62" s="54" t="s">
        <v>36</v>
      </c>
      <c r="H62" s="55">
        <v>9</v>
      </c>
      <c r="I62" s="55">
        <v>0</v>
      </c>
      <c r="J62" s="55">
        <v>0</v>
      </c>
      <c r="K62" s="55">
        <f t="shared" si="4"/>
        <v>9</v>
      </c>
      <c r="L62" s="56">
        <v>480.77</v>
      </c>
      <c r="M62" s="57">
        <f t="shared" si="5"/>
        <v>4326.93</v>
      </c>
      <c r="N62" s="57">
        <v>1</v>
      </c>
      <c r="O62" s="57">
        <f t="shared" si="6"/>
        <v>60</v>
      </c>
      <c r="P62" s="58">
        <f t="shared" si="0"/>
        <v>4386.93</v>
      </c>
      <c r="Q62" s="57">
        <f t="shared" si="1"/>
        <v>519</v>
      </c>
      <c r="R62" s="57">
        <f t="shared" si="7"/>
        <v>33</v>
      </c>
      <c r="S62" s="57">
        <v>212</v>
      </c>
      <c r="T62" s="58">
        <f t="shared" si="8"/>
        <v>764</v>
      </c>
      <c r="U62" s="58">
        <f t="shared" si="9"/>
        <v>3622.9300000000003</v>
      </c>
      <c r="V62" s="59"/>
      <c r="W62" s="60"/>
    </row>
    <row r="63" spans="1:23" ht="18" x14ac:dyDescent="0.35">
      <c r="A63" s="45">
        <v>53</v>
      </c>
      <c r="B63" s="46">
        <v>99124081</v>
      </c>
      <c r="C63" s="47" t="s">
        <v>88</v>
      </c>
      <c r="D63" s="51" t="str">
        <f>VLOOKUP(B63,'[1]FORM XIII'!D$1:G$65536,4,0)</f>
        <v>RAMPAL SINGH</v>
      </c>
      <c r="E63" s="52" t="str">
        <f>VLOOKUP(B63,'[1]FORM XIII'!D$14:I$91,5,0)</f>
        <v>102209879690</v>
      </c>
      <c r="F63" s="53"/>
      <c r="G63" s="54" t="s">
        <v>36</v>
      </c>
      <c r="H63" s="55">
        <v>21</v>
      </c>
      <c r="I63" s="55">
        <v>0</v>
      </c>
      <c r="J63" s="55">
        <v>0</v>
      </c>
      <c r="K63" s="55">
        <f t="shared" si="4"/>
        <v>21</v>
      </c>
      <c r="L63" s="56">
        <v>480.77</v>
      </c>
      <c r="M63" s="57">
        <f t="shared" si="5"/>
        <v>10096.17</v>
      </c>
      <c r="N63" s="57">
        <v>16</v>
      </c>
      <c r="O63" s="57">
        <f t="shared" si="6"/>
        <v>962</v>
      </c>
      <c r="P63" s="58">
        <f t="shared" si="0"/>
        <v>11058.17</v>
      </c>
      <c r="Q63" s="57">
        <f t="shared" si="1"/>
        <v>1212</v>
      </c>
      <c r="R63" s="57">
        <f t="shared" si="7"/>
        <v>83</v>
      </c>
      <c r="S63" s="57">
        <v>50</v>
      </c>
      <c r="T63" s="58">
        <f t="shared" si="8"/>
        <v>1345</v>
      </c>
      <c r="U63" s="58">
        <f t="shared" si="9"/>
        <v>9713.17</v>
      </c>
      <c r="V63" s="59"/>
      <c r="W63" s="60"/>
    </row>
    <row r="64" spans="1:23" ht="18" x14ac:dyDescent="0.35">
      <c r="A64" s="45">
        <v>54</v>
      </c>
      <c r="B64" s="46">
        <v>99124082</v>
      </c>
      <c r="C64" s="47" t="s">
        <v>89</v>
      </c>
      <c r="D64" s="51" t="str">
        <f>VLOOKUP(B64,'[1]FORM XIII'!D$1:G$65536,4,0)</f>
        <v>KARM SINGH</v>
      </c>
      <c r="E64" s="52" t="str">
        <f>VLOOKUP(B64,'[1]FORM XIII'!D$14:I$91,5,0)</f>
        <v>1022075110005</v>
      </c>
      <c r="F64" s="53"/>
      <c r="G64" s="54" t="s">
        <v>36</v>
      </c>
      <c r="H64" s="55">
        <v>26</v>
      </c>
      <c r="I64" s="55">
        <v>0</v>
      </c>
      <c r="J64" s="55">
        <v>0</v>
      </c>
      <c r="K64" s="55">
        <f t="shared" si="4"/>
        <v>26</v>
      </c>
      <c r="L64" s="56">
        <v>480.77</v>
      </c>
      <c r="M64" s="57">
        <f t="shared" si="5"/>
        <v>12500.02</v>
      </c>
      <c r="N64" s="57">
        <v>34</v>
      </c>
      <c r="O64" s="57">
        <f t="shared" si="6"/>
        <v>2043</v>
      </c>
      <c r="P64" s="58">
        <f t="shared" si="0"/>
        <v>14543.02</v>
      </c>
      <c r="Q64" s="57">
        <f t="shared" si="1"/>
        <v>1500</v>
      </c>
      <c r="R64" s="57">
        <f t="shared" si="7"/>
        <v>109</v>
      </c>
      <c r="S64" s="57">
        <v>250</v>
      </c>
      <c r="T64" s="58">
        <f t="shared" si="8"/>
        <v>1859</v>
      </c>
      <c r="U64" s="58">
        <f t="shared" si="9"/>
        <v>12684.02</v>
      </c>
      <c r="V64" s="59"/>
      <c r="W64" s="60"/>
    </row>
    <row r="65" spans="1:23" ht="18" x14ac:dyDescent="0.35">
      <c r="A65" s="45">
        <v>55</v>
      </c>
      <c r="B65" s="46">
        <v>99134610</v>
      </c>
      <c r="C65" s="47" t="s">
        <v>90</v>
      </c>
      <c r="D65" s="51" t="str">
        <f>VLOOKUP(B65,'[1]FORM XIII'!D$1:G$65536,4,0)</f>
        <v>UDESH</v>
      </c>
      <c r="E65" s="52" t="str">
        <f>VLOOKUP(B65,'[1]FORM XIII'!D$14:I$91,5,0)</f>
        <v>101243458722</v>
      </c>
      <c r="F65" s="53"/>
      <c r="G65" s="54" t="s">
        <v>36</v>
      </c>
      <c r="H65" s="55">
        <v>12</v>
      </c>
      <c r="I65" s="55">
        <v>0</v>
      </c>
      <c r="J65" s="55">
        <v>0</v>
      </c>
      <c r="K65" s="55">
        <f t="shared" si="4"/>
        <v>12</v>
      </c>
      <c r="L65" s="56">
        <v>480.77</v>
      </c>
      <c r="M65" s="57">
        <f t="shared" si="5"/>
        <v>5769.24</v>
      </c>
      <c r="N65" s="57">
        <v>6</v>
      </c>
      <c r="O65" s="57">
        <f t="shared" si="6"/>
        <v>361</v>
      </c>
      <c r="P65" s="58">
        <f t="shared" si="0"/>
        <v>6130.24</v>
      </c>
      <c r="Q65" s="57">
        <f t="shared" si="1"/>
        <v>692</v>
      </c>
      <c r="R65" s="57">
        <f t="shared" si="7"/>
        <v>46</v>
      </c>
      <c r="S65" s="57"/>
      <c r="T65" s="58">
        <f t="shared" si="8"/>
        <v>738</v>
      </c>
      <c r="U65" s="58">
        <f t="shared" si="9"/>
        <v>5392.24</v>
      </c>
      <c r="V65" s="59"/>
      <c r="W65" s="60"/>
    </row>
    <row r="66" spans="1:23" ht="18" x14ac:dyDescent="0.35">
      <c r="A66" s="45">
        <v>56</v>
      </c>
      <c r="B66" s="46">
        <v>99136181</v>
      </c>
      <c r="C66" s="47" t="s">
        <v>79</v>
      </c>
      <c r="D66" s="51" t="str">
        <f>VLOOKUP(B66,'[1]FORM XIII'!D$1:G$65536,4,0)</f>
        <v>VIJAY</v>
      </c>
      <c r="E66" s="52" t="str">
        <f>VLOOKUP(B66,'[1]FORM XIII'!D$14:I$91,5,0)</f>
        <v>101886899685</v>
      </c>
      <c r="F66" s="53"/>
      <c r="G66" s="54" t="s">
        <v>36</v>
      </c>
      <c r="H66" s="55">
        <v>1</v>
      </c>
      <c r="I66" s="55">
        <v>0</v>
      </c>
      <c r="J66" s="55">
        <v>0</v>
      </c>
      <c r="K66" s="55">
        <f t="shared" si="4"/>
        <v>1</v>
      </c>
      <c r="L66" s="56">
        <v>480.77</v>
      </c>
      <c r="M66" s="57">
        <f t="shared" si="5"/>
        <v>480.77</v>
      </c>
      <c r="N66" s="57">
        <v>0</v>
      </c>
      <c r="O66" s="57">
        <f t="shared" si="6"/>
        <v>0</v>
      </c>
      <c r="P66" s="58">
        <f t="shared" si="0"/>
        <v>480.77</v>
      </c>
      <c r="Q66" s="57">
        <f t="shared" si="1"/>
        <v>58</v>
      </c>
      <c r="R66" s="57">
        <f t="shared" si="7"/>
        <v>4</v>
      </c>
      <c r="S66" s="57">
        <v>12</v>
      </c>
      <c r="T66" s="58">
        <f t="shared" si="8"/>
        <v>74</v>
      </c>
      <c r="U66" s="58">
        <f t="shared" si="9"/>
        <v>406.77</v>
      </c>
      <c r="V66" s="59"/>
      <c r="W66" s="60"/>
    </row>
    <row r="67" spans="1:23" ht="18" x14ac:dyDescent="0.35">
      <c r="A67" s="45">
        <v>57</v>
      </c>
      <c r="B67" s="46">
        <v>72222009</v>
      </c>
      <c r="C67" s="47" t="s">
        <v>91</v>
      </c>
      <c r="D67" s="51" t="str">
        <f>VLOOKUP(B67,'[1]FORM XIII'!D$1:G$65536,4,0)</f>
        <v>DHARMVEER</v>
      </c>
      <c r="E67" s="52" t="str">
        <f>VLOOKUP(B67,'[1]FORM XIII'!D$14:I$91,5,0)</f>
        <v/>
      </c>
      <c r="F67" s="53"/>
      <c r="G67" s="54" t="s">
        <v>36</v>
      </c>
      <c r="H67" s="55">
        <v>16</v>
      </c>
      <c r="I67" s="55">
        <v>0</v>
      </c>
      <c r="J67" s="55">
        <v>0</v>
      </c>
      <c r="K67" s="55">
        <f t="shared" si="4"/>
        <v>16</v>
      </c>
      <c r="L67" s="56">
        <v>480.77</v>
      </c>
      <c r="M67" s="57">
        <f t="shared" si="5"/>
        <v>7692.32</v>
      </c>
      <c r="N67" s="57">
        <v>8</v>
      </c>
      <c r="O67" s="57">
        <f t="shared" si="6"/>
        <v>481</v>
      </c>
      <c r="P67" s="58">
        <f t="shared" si="0"/>
        <v>8173.32</v>
      </c>
      <c r="Q67" s="57">
        <f t="shared" si="1"/>
        <v>923</v>
      </c>
      <c r="R67" s="57">
        <f t="shared" si="7"/>
        <v>61</v>
      </c>
      <c r="S67" s="57">
        <v>350</v>
      </c>
      <c r="T67" s="58">
        <f t="shared" si="8"/>
        <v>1334</v>
      </c>
      <c r="U67" s="58">
        <f t="shared" si="9"/>
        <v>6839.32</v>
      </c>
      <c r="V67" s="59"/>
      <c r="W67" s="60"/>
    </row>
    <row r="68" spans="1:23" ht="18" x14ac:dyDescent="0.35">
      <c r="A68" s="45">
        <v>58</v>
      </c>
      <c r="B68" s="46">
        <v>72232158</v>
      </c>
      <c r="C68" s="47" t="s">
        <v>92</v>
      </c>
      <c r="D68" s="51" t="str">
        <f>VLOOKUP(B68,'[1]FORM XIII'!D$1:G$65536,4,0)</f>
        <v>JUGDISH SINGH</v>
      </c>
      <c r="E68" s="52" t="str">
        <f>VLOOKUP(B68,'[1]FORM XIII'!D$14:I$91,5,0)</f>
        <v>101277469285</v>
      </c>
      <c r="F68" s="53"/>
      <c r="G68" s="54" t="s">
        <v>36</v>
      </c>
      <c r="H68" s="55">
        <v>23</v>
      </c>
      <c r="I68" s="55">
        <v>0</v>
      </c>
      <c r="J68" s="55">
        <v>0</v>
      </c>
      <c r="K68" s="55">
        <f t="shared" si="4"/>
        <v>23</v>
      </c>
      <c r="L68" s="56">
        <v>480.77</v>
      </c>
      <c r="M68" s="57">
        <f t="shared" si="5"/>
        <v>11057.71</v>
      </c>
      <c r="N68" s="57">
        <v>1</v>
      </c>
      <c r="O68" s="57">
        <f t="shared" si="6"/>
        <v>60</v>
      </c>
      <c r="P68" s="58">
        <f t="shared" si="0"/>
        <v>11117.71</v>
      </c>
      <c r="Q68" s="57">
        <f t="shared" si="1"/>
        <v>1327</v>
      </c>
      <c r="R68" s="57">
        <f t="shared" si="7"/>
        <v>83</v>
      </c>
      <c r="S68" s="57"/>
      <c r="T68" s="58">
        <f t="shared" si="8"/>
        <v>1410</v>
      </c>
      <c r="U68" s="58">
        <f t="shared" si="9"/>
        <v>9707.7099999999991</v>
      </c>
      <c r="V68" s="59"/>
      <c r="W68" s="60"/>
    </row>
    <row r="69" spans="1:23" ht="18" x14ac:dyDescent="0.35">
      <c r="A69" s="45">
        <v>59</v>
      </c>
      <c r="B69" s="46">
        <v>99124196</v>
      </c>
      <c r="C69" s="47" t="s">
        <v>93</v>
      </c>
      <c r="D69" s="51" t="str">
        <f>VLOOKUP(B69,'[1]FORM XIII'!D$1:G$65536,4,0)</f>
        <v>RAM KARAN</v>
      </c>
      <c r="E69" s="52" t="str">
        <f>VLOOKUP(B69,'[1]FORM XIII'!D$14:I$91,5,0)</f>
        <v>102214634718</v>
      </c>
      <c r="F69" s="53"/>
      <c r="G69" s="54" t="s">
        <v>36</v>
      </c>
      <c r="H69" s="55">
        <v>26</v>
      </c>
      <c r="I69" s="55">
        <v>0</v>
      </c>
      <c r="J69" s="55">
        <v>0</v>
      </c>
      <c r="K69" s="55">
        <f t="shared" si="4"/>
        <v>26</v>
      </c>
      <c r="L69" s="56">
        <v>480.77</v>
      </c>
      <c r="M69" s="57">
        <f t="shared" si="5"/>
        <v>12500.02</v>
      </c>
      <c r="N69" s="57">
        <v>49</v>
      </c>
      <c r="O69" s="57">
        <f t="shared" si="6"/>
        <v>2945</v>
      </c>
      <c r="P69" s="58">
        <f t="shared" si="0"/>
        <v>15445.02</v>
      </c>
      <c r="Q69" s="57">
        <f t="shared" si="1"/>
        <v>1500</v>
      </c>
      <c r="R69" s="57">
        <f t="shared" si="7"/>
        <v>116</v>
      </c>
      <c r="S69" s="57">
        <v>200</v>
      </c>
      <c r="T69" s="58">
        <f t="shared" si="8"/>
        <v>1816</v>
      </c>
      <c r="U69" s="58">
        <f t="shared" si="9"/>
        <v>13629.02</v>
      </c>
      <c r="V69" s="59"/>
      <c r="W69" s="60"/>
    </row>
    <row r="70" spans="1:23" ht="18" x14ac:dyDescent="0.35">
      <c r="A70" s="45">
        <v>60</v>
      </c>
      <c r="B70" s="46">
        <v>99124170</v>
      </c>
      <c r="C70" s="47" t="s">
        <v>94</v>
      </c>
      <c r="D70" s="51" t="str">
        <f>VLOOKUP(B70,'[1]FORM XIII'!D$1:G$65536,4,0)</f>
        <v>SARBOJ SINGH</v>
      </c>
      <c r="E70" s="52" t="str">
        <f>VLOOKUP(B70,'[1]FORM XIII'!D$14:I$91,5,0)</f>
        <v>101454761820</v>
      </c>
      <c r="F70" s="53"/>
      <c r="G70" s="54" t="s">
        <v>36</v>
      </c>
      <c r="H70" s="55">
        <v>17</v>
      </c>
      <c r="I70" s="55">
        <v>0</v>
      </c>
      <c r="J70" s="55">
        <v>0</v>
      </c>
      <c r="K70" s="55">
        <f t="shared" si="4"/>
        <v>17</v>
      </c>
      <c r="L70" s="56">
        <v>480.77</v>
      </c>
      <c r="M70" s="57">
        <f t="shared" si="5"/>
        <v>8173.09</v>
      </c>
      <c r="N70" s="57">
        <v>4</v>
      </c>
      <c r="O70" s="57">
        <f t="shared" si="6"/>
        <v>240</v>
      </c>
      <c r="P70" s="58">
        <f t="shared" si="0"/>
        <v>8413.09</v>
      </c>
      <c r="Q70" s="57">
        <f t="shared" si="1"/>
        <v>981</v>
      </c>
      <c r="R70" s="57">
        <f t="shared" si="7"/>
        <v>63</v>
      </c>
      <c r="S70" s="57"/>
      <c r="T70" s="58">
        <f t="shared" si="8"/>
        <v>1044</v>
      </c>
      <c r="U70" s="58">
        <f t="shared" si="9"/>
        <v>7369.09</v>
      </c>
      <c r="V70" s="59"/>
      <c r="W70" s="60"/>
    </row>
    <row r="71" spans="1:23" ht="18" x14ac:dyDescent="0.35">
      <c r="A71" s="45">
        <v>61</v>
      </c>
      <c r="B71" s="46">
        <v>72232184</v>
      </c>
      <c r="C71" s="47" t="s">
        <v>95</v>
      </c>
      <c r="D71" s="51" t="str">
        <f>VLOOKUP(B71,'[1]FORM XIII'!D$1:G$65536,4,0)</f>
        <v>HARPAL</v>
      </c>
      <c r="E71" s="52" t="str">
        <f>VLOOKUP(B71,'[1]FORM XIII'!D$14:I$91,5,0)</f>
        <v>101929143239</v>
      </c>
      <c r="F71" s="53"/>
      <c r="G71" s="54" t="s">
        <v>36</v>
      </c>
      <c r="H71" s="55">
        <v>6</v>
      </c>
      <c r="I71" s="55">
        <v>0</v>
      </c>
      <c r="J71" s="55">
        <v>0</v>
      </c>
      <c r="K71" s="55">
        <f t="shared" si="4"/>
        <v>6</v>
      </c>
      <c r="L71" s="56">
        <v>480.77</v>
      </c>
      <c r="M71" s="57">
        <f t="shared" si="5"/>
        <v>2884.62</v>
      </c>
      <c r="N71" s="57">
        <v>0</v>
      </c>
      <c r="O71" s="57">
        <f t="shared" si="6"/>
        <v>0</v>
      </c>
      <c r="P71" s="58">
        <f t="shared" si="0"/>
        <v>2884.62</v>
      </c>
      <c r="Q71" s="57">
        <f t="shared" si="1"/>
        <v>346</v>
      </c>
      <c r="R71" s="57">
        <f t="shared" si="7"/>
        <v>22</v>
      </c>
      <c r="S71" s="57"/>
      <c r="T71" s="58">
        <f t="shared" si="8"/>
        <v>368</v>
      </c>
      <c r="U71" s="58">
        <f t="shared" si="9"/>
        <v>2516.62</v>
      </c>
      <c r="V71" s="59"/>
      <c r="W71" s="60"/>
    </row>
    <row r="72" spans="1:23" ht="18" x14ac:dyDescent="0.35">
      <c r="A72" s="45">
        <v>62</v>
      </c>
      <c r="B72" s="46">
        <v>99124712</v>
      </c>
      <c r="C72" s="47" t="s">
        <v>96</v>
      </c>
      <c r="D72" s="51" t="str">
        <f>VLOOKUP(B72,'[1]FORM XIII'!D$1:G$65536,4,0)</f>
        <v>ROSHAN</v>
      </c>
      <c r="E72" s="52" t="str">
        <f>VLOOKUP(B72,'[1]FORM XIII'!D$14:I$91,5,0)</f>
        <v>102277278461</v>
      </c>
      <c r="F72" s="53"/>
      <c r="G72" s="54" t="s">
        <v>36</v>
      </c>
      <c r="H72" s="55">
        <v>11</v>
      </c>
      <c r="I72" s="55">
        <v>0</v>
      </c>
      <c r="J72" s="55">
        <v>0</v>
      </c>
      <c r="K72" s="55">
        <f t="shared" si="4"/>
        <v>11</v>
      </c>
      <c r="L72" s="56">
        <v>542.04</v>
      </c>
      <c r="M72" s="57">
        <f t="shared" si="5"/>
        <v>5962.44</v>
      </c>
      <c r="N72" s="57">
        <v>5</v>
      </c>
      <c r="O72" s="57">
        <f t="shared" si="6"/>
        <v>339</v>
      </c>
      <c r="P72" s="58">
        <f t="shared" si="0"/>
        <v>6301.44</v>
      </c>
      <c r="Q72" s="57">
        <f t="shared" si="1"/>
        <v>715</v>
      </c>
      <c r="R72" s="57">
        <f t="shared" si="7"/>
        <v>47</v>
      </c>
      <c r="S72" s="57"/>
      <c r="T72" s="58">
        <f t="shared" si="8"/>
        <v>762</v>
      </c>
      <c r="U72" s="58">
        <f t="shared" si="9"/>
        <v>5539.44</v>
      </c>
      <c r="V72" s="59"/>
      <c r="W72" s="60"/>
    </row>
    <row r="73" spans="1:23" ht="18" x14ac:dyDescent="0.35">
      <c r="A73" s="45">
        <v>63</v>
      </c>
      <c r="B73" s="46">
        <v>99134845</v>
      </c>
      <c r="C73" s="47" t="s">
        <v>97</v>
      </c>
      <c r="D73" s="51" t="str">
        <f>VLOOKUP(B73,'[1]FORM XIII'!D$1:G$65536,4,0)</f>
        <v>SALEEM</v>
      </c>
      <c r="E73" s="52" t="str">
        <f>VLOOKUP(B73,'[1]FORM XIII'!D$14:I$91,5,0)</f>
        <v>102120466436</v>
      </c>
      <c r="F73" s="53"/>
      <c r="G73" s="54" t="s">
        <v>36</v>
      </c>
      <c r="H73" s="55">
        <v>15</v>
      </c>
      <c r="I73" s="55">
        <v>0</v>
      </c>
      <c r="J73" s="55">
        <v>0</v>
      </c>
      <c r="K73" s="55">
        <f t="shared" si="4"/>
        <v>15</v>
      </c>
      <c r="L73" s="56">
        <v>480.77</v>
      </c>
      <c r="M73" s="57">
        <f t="shared" si="5"/>
        <v>7211.5499999999993</v>
      </c>
      <c r="N73" s="57">
        <v>0</v>
      </c>
      <c r="O73" s="57">
        <f t="shared" si="6"/>
        <v>0</v>
      </c>
      <c r="P73" s="58">
        <f t="shared" si="0"/>
        <v>7211.5499999999993</v>
      </c>
      <c r="Q73" s="57">
        <f t="shared" si="1"/>
        <v>865</v>
      </c>
      <c r="R73" s="57">
        <f t="shared" si="7"/>
        <v>54</v>
      </c>
      <c r="S73" s="57">
        <v>100</v>
      </c>
      <c r="T73" s="58">
        <f t="shared" si="8"/>
        <v>1019</v>
      </c>
      <c r="U73" s="58">
        <f t="shared" si="9"/>
        <v>6192.5499999999993</v>
      </c>
      <c r="V73" s="59"/>
      <c r="W73" s="60"/>
    </row>
    <row r="74" spans="1:23" ht="18" x14ac:dyDescent="0.35">
      <c r="A74" s="45">
        <v>64</v>
      </c>
      <c r="B74" s="46">
        <v>99134921</v>
      </c>
      <c r="C74" s="47" t="s">
        <v>43</v>
      </c>
      <c r="D74" s="51" t="str">
        <f>VLOOKUP(B74,'[1]FORM XIII'!D$1:G$65536,4,0)</f>
        <v>SANDEEP</v>
      </c>
      <c r="E74" s="52" t="str">
        <f>VLOOKUP(B74,'[1]FORM XIII'!D$14:I$91,5,0)</f>
        <v>101891035575</v>
      </c>
      <c r="F74" s="53"/>
      <c r="G74" s="54" t="s">
        <v>36</v>
      </c>
      <c r="H74" s="55">
        <v>1</v>
      </c>
      <c r="I74" s="55">
        <v>0</v>
      </c>
      <c r="J74" s="55">
        <v>0</v>
      </c>
      <c r="K74" s="55">
        <f t="shared" si="4"/>
        <v>1</v>
      </c>
      <c r="L74" s="56">
        <v>480.77</v>
      </c>
      <c r="M74" s="57">
        <f t="shared" si="5"/>
        <v>480.77</v>
      </c>
      <c r="N74" s="57">
        <v>0</v>
      </c>
      <c r="O74" s="57">
        <f t="shared" si="6"/>
        <v>0</v>
      </c>
      <c r="P74" s="58">
        <f t="shared" si="0"/>
        <v>480.77</v>
      </c>
      <c r="Q74" s="57">
        <f t="shared" si="1"/>
        <v>58</v>
      </c>
      <c r="R74" s="57">
        <f t="shared" si="7"/>
        <v>4</v>
      </c>
      <c r="S74" s="57">
        <v>250</v>
      </c>
      <c r="T74" s="58">
        <f t="shared" si="8"/>
        <v>312</v>
      </c>
      <c r="U74" s="58">
        <f t="shared" si="9"/>
        <v>168.76999999999998</v>
      </c>
      <c r="V74" s="59"/>
      <c r="W74" s="60"/>
    </row>
    <row r="75" spans="1:23" ht="18" x14ac:dyDescent="0.35">
      <c r="A75" s="45">
        <v>65</v>
      </c>
      <c r="B75" s="46">
        <v>99135691</v>
      </c>
      <c r="C75" s="47" t="s">
        <v>98</v>
      </c>
      <c r="D75" s="51" t="str">
        <f>VLOOKUP(B75,'[1]FORM XIII'!D$1:G$65536,4,0)</f>
        <v>IRFAN</v>
      </c>
      <c r="E75" s="52" t="str">
        <f>VLOOKUP(B75,'[1]FORM XIII'!D$14:I$91,5,0)</f>
        <v>102177219209</v>
      </c>
      <c r="F75" s="53"/>
      <c r="G75" s="54" t="s">
        <v>36</v>
      </c>
      <c r="H75" s="55">
        <v>27</v>
      </c>
      <c r="I75" s="55">
        <v>0</v>
      </c>
      <c r="J75" s="55">
        <v>0</v>
      </c>
      <c r="K75" s="55">
        <f t="shared" si="4"/>
        <v>27</v>
      </c>
      <c r="L75" s="56">
        <v>480.77</v>
      </c>
      <c r="M75" s="57">
        <f t="shared" si="5"/>
        <v>12980.789999999999</v>
      </c>
      <c r="N75" s="57">
        <v>7</v>
      </c>
      <c r="O75" s="57">
        <f t="shared" si="6"/>
        <v>421</v>
      </c>
      <c r="P75" s="58">
        <f t="shared" ref="P75:P103" si="10">+M75+O75</f>
        <v>13401.789999999999</v>
      </c>
      <c r="Q75" s="57">
        <f t="shared" ref="Q75:Q103" si="11">+ROUND(M75*12%,0)</f>
        <v>1558</v>
      </c>
      <c r="R75" s="57">
        <f t="shared" si="7"/>
        <v>101</v>
      </c>
      <c r="S75" s="57"/>
      <c r="T75" s="58">
        <f t="shared" si="8"/>
        <v>1659</v>
      </c>
      <c r="U75" s="58">
        <f t="shared" si="9"/>
        <v>11742.789999999999</v>
      </c>
      <c r="V75" s="59"/>
      <c r="W75" s="60"/>
    </row>
    <row r="76" spans="1:23" ht="18" x14ac:dyDescent="0.35">
      <c r="A76" s="45">
        <v>66</v>
      </c>
      <c r="B76" s="46">
        <v>99136279</v>
      </c>
      <c r="C76" s="47" t="s">
        <v>99</v>
      </c>
      <c r="D76" s="51" t="str">
        <f>VLOOKUP(B76,'[1]FORM XIII'!D$1:G$65536,4,0)</f>
        <v>RAGHUVEER SINGH</v>
      </c>
      <c r="E76" s="52" t="str">
        <f>VLOOKUP(B76,'[1]FORM XIII'!D$14:I$91,5,0)</f>
        <v>101815765052</v>
      </c>
      <c r="F76" s="53"/>
      <c r="G76" s="54" t="s">
        <v>36</v>
      </c>
      <c r="H76" s="55">
        <v>22</v>
      </c>
      <c r="I76" s="55">
        <v>0</v>
      </c>
      <c r="J76" s="55">
        <v>0</v>
      </c>
      <c r="K76" s="55">
        <f t="shared" ref="K76:K103" si="12">H76-I76+J76</f>
        <v>22</v>
      </c>
      <c r="L76" s="56">
        <v>480.77</v>
      </c>
      <c r="M76" s="57">
        <f t="shared" ref="M76:M103" si="13">+K76*L76</f>
        <v>10576.939999999999</v>
      </c>
      <c r="N76" s="57">
        <v>17</v>
      </c>
      <c r="O76" s="57">
        <f t="shared" ref="O76:O103" si="14">ROUND(L76/8*N76,)</f>
        <v>1022</v>
      </c>
      <c r="P76" s="58">
        <f t="shared" si="10"/>
        <v>11598.939999999999</v>
      </c>
      <c r="Q76" s="57">
        <f t="shared" si="11"/>
        <v>1269</v>
      </c>
      <c r="R76" s="57">
        <f t="shared" ref="R76:R103" si="15">+ROUND(P76*0.75%,0)</f>
        <v>87</v>
      </c>
      <c r="S76" s="57">
        <v>24</v>
      </c>
      <c r="T76" s="58">
        <f t="shared" si="8"/>
        <v>1380</v>
      </c>
      <c r="U76" s="58">
        <f t="shared" si="9"/>
        <v>10218.939999999999</v>
      </c>
      <c r="V76" s="59"/>
      <c r="W76" s="60"/>
    </row>
    <row r="77" spans="1:23" ht="18" x14ac:dyDescent="0.35">
      <c r="A77" s="45">
        <v>67</v>
      </c>
      <c r="B77" s="46">
        <v>99136379</v>
      </c>
      <c r="C77" s="47" t="s">
        <v>77</v>
      </c>
      <c r="D77" s="51" t="str">
        <f>VLOOKUP(B77,'[1]FORM XIII'!D$1:G$65536,4,0)</f>
        <v>LEKHKHA</v>
      </c>
      <c r="E77" s="52" t="str">
        <f>VLOOKUP(B77,'[1]FORM XIII'!D$14:I$91,5,0)</f>
        <v>101699337393</v>
      </c>
      <c r="F77" s="53"/>
      <c r="G77" s="54" t="s">
        <v>36</v>
      </c>
      <c r="H77" s="55">
        <v>20</v>
      </c>
      <c r="I77" s="55">
        <v>0</v>
      </c>
      <c r="J77" s="55">
        <v>0</v>
      </c>
      <c r="K77" s="55">
        <f t="shared" si="12"/>
        <v>20</v>
      </c>
      <c r="L77" s="56">
        <v>480.77</v>
      </c>
      <c r="M77" s="57">
        <f t="shared" si="13"/>
        <v>9615.4</v>
      </c>
      <c r="N77" s="57">
        <v>22</v>
      </c>
      <c r="O77" s="57">
        <f t="shared" si="14"/>
        <v>1322</v>
      </c>
      <c r="P77" s="58">
        <f t="shared" si="10"/>
        <v>10937.4</v>
      </c>
      <c r="Q77" s="57">
        <f t="shared" si="11"/>
        <v>1154</v>
      </c>
      <c r="R77" s="57">
        <f t="shared" si="15"/>
        <v>82</v>
      </c>
      <c r="S77" s="57">
        <v>150</v>
      </c>
      <c r="T77" s="58">
        <f t="shared" si="8"/>
        <v>1386</v>
      </c>
      <c r="U77" s="58">
        <f t="shared" si="9"/>
        <v>9551.4</v>
      </c>
      <c r="V77" s="59"/>
      <c r="W77" s="60"/>
    </row>
    <row r="78" spans="1:23" ht="18" x14ac:dyDescent="0.35">
      <c r="A78" s="45">
        <v>68</v>
      </c>
      <c r="B78" s="46">
        <v>99135240</v>
      </c>
      <c r="C78" s="47" t="s">
        <v>100</v>
      </c>
      <c r="D78" s="51" t="str">
        <f>VLOOKUP(B78,'[1]FORM XIII'!D$1:G$65536,4,0)</f>
        <v>TARA CHAND</v>
      </c>
      <c r="E78" s="52" t="str">
        <f>VLOOKUP(B78,'[1]FORM XIII'!D$14:I$91,5,0)</f>
        <v>102155529843</v>
      </c>
      <c r="F78" s="53"/>
      <c r="G78" s="54" t="s">
        <v>36</v>
      </c>
      <c r="H78" s="55">
        <v>21</v>
      </c>
      <c r="I78" s="55">
        <v>0</v>
      </c>
      <c r="J78" s="55">
        <v>0</v>
      </c>
      <c r="K78" s="55">
        <f t="shared" si="12"/>
        <v>21</v>
      </c>
      <c r="L78" s="56">
        <v>480.77</v>
      </c>
      <c r="M78" s="57">
        <f t="shared" si="13"/>
        <v>10096.17</v>
      </c>
      <c r="N78" s="57">
        <v>6</v>
      </c>
      <c r="O78" s="57">
        <f t="shared" si="14"/>
        <v>361</v>
      </c>
      <c r="P78" s="58">
        <f t="shared" si="10"/>
        <v>10457.17</v>
      </c>
      <c r="Q78" s="57">
        <f t="shared" si="11"/>
        <v>1212</v>
      </c>
      <c r="R78" s="57">
        <f t="shared" si="15"/>
        <v>78</v>
      </c>
      <c r="S78" s="57">
        <v>412</v>
      </c>
      <c r="T78" s="58">
        <f t="shared" si="8"/>
        <v>1702</v>
      </c>
      <c r="U78" s="58">
        <f t="shared" si="9"/>
        <v>8755.17</v>
      </c>
      <c r="V78" s="59"/>
      <c r="W78" s="60"/>
    </row>
    <row r="79" spans="1:23" ht="18" x14ac:dyDescent="0.35">
      <c r="A79" s="45">
        <v>69</v>
      </c>
      <c r="B79" s="46">
        <v>99136381</v>
      </c>
      <c r="C79" s="47" t="s">
        <v>101</v>
      </c>
      <c r="D79" s="51" t="str">
        <f>VLOOKUP(B79,'[1]FORM XIII'!D$1:G$65536,4,0)</f>
        <v>SABIR</v>
      </c>
      <c r="E79" s="52" t="str">
        <f>VLOOKUP(B79,'[1]FORM XIII'!D$14:I$91,5,0)</f>
        <v>102211324433</v>
      </c>
      <c r="F79" s="53"/>
      <c r="G79" s="54" t="s">
        <v>36</v>
      </c>
      <c r="H79" s="55">
        <v>27</v>
      </c>
      <c r="I79" s="55">
        <v>0</v>
      </c>
      <c r="J79" s="55">
        <v>0</v>
      </c>
      <c r="K79" s="55">
        <f t="shared" si="12"/>
        <v>27</v>
      </c>
      <c r="L79" s="56">
        <v>480.77</v>
      </c>
      <c r="M79" s="57">
        <f t="shared" si="13"/>
        <v>12980.789999999999</v>
      </c>
      <c r="N79" s="57">
        <v>7</v>
      </c>
      <c r="O79" s="57">
        <f t="shared" si="14"/>
        <v>421</v>
      </c>
      <c r="P79" s="58">
        <f t="shared" si="10"/>
        <v>13401.789999999999</v>
      </c>
      <c r="Q79" s="57">
        <f t="shared" si="11"/>
        <v>1558</v>
      </c>
      <c r="R79" s="57">
        <f t="shared" si="15"/>
        <v>101</v>
      </c>
      <c r="S79" s="57">
        <v>50</v>
      </c>
      <c r="T79" s="58">
        <f t="shared" si="8"/>
        <v>1709</v>
      </c>
      <c r="U79" s="58">
        <f t="shared" si="9"/>
        <v>11692.789999999999</v>
      </c>
      <c r="V79" s="59"/>
      <c r="W79" s="60"/>
    </row>
    <row r="80" spans="1:23" ht="18" x14ac:dyDescent="0.35">
      <c r="A80" s="45">
        <v>70</v>
      </c>
      <c r="B80" s="46">
        <v>99136422</v>
      </c>
      <c r="C80" s="47" t="s">
        <v>102</v>
      </c>
      <c r="D80" s="51" t="str">
        <f>VLOOKUP(B80,'[1]FORM XIII'!D$1:G$65536,4,0)</f>
        <v>VIKRAM</v>
      </c>
      <c r="E80" s="52" t="str">
        <f>VLOOKUP(B80,'[1]FORM XIII'!D$14:I$91,5,0)</f>
        <v>102211324446</v>
      </c>
      <c r="F80" s="53"/>
      <c r="G80" s="54" t="s">
        <v>36</v>
      </c>
      <c r="H80" s="55">
        <v>22</v>
      </c>
      <c r="I80" s="55">
        <v>0</v>
      </c>
      <c r="J80" s="55">
        <v>0</v>
      </c>
      <c r="K80" s="55">
        <f t="shared" si="12"/>
        <v>22</v>
      </c>
      <c r="L80" s="56">
        <v>480.77</v>
      </c>
      <c r="M80" s="57">
        <f t="shared" si="13"/>
        <v>10576.939999999999</v>
      </c>
      <c r="N80" s="57">
        <v>0</v>
      </c>
      <c r="O80" s="57">
        <f t="shared" si="14"/>
        <v>0</v>
      </c>
      <c r="P80" s="58">
        <f t="shared" si="10"/>
        <v>10576.939999999999</v>
      </c>
      <c r="Q80" s="57">
        <f t="shared" si="11"/>
        <v>1269</v>
      </c>
      <c r="R80" s="57">
        <f t="shared" si="15"/>
        <v>79</v>
      </c>
      <c r="S80" s="57">
        <v>124</v>
      </c>
      <c r="T80" s="58">
        <f t="shared" si="8"/>
        <v>1472</v>
      </c>
      <c r="U80" s="58">
        <f t="shared" si="9"/>
        <v>9104.9399999999987</v>
      </c>
      <c r="V80" s="59"/>
      <c r="W80" s="60"/>
    </row>
    <row r="81" spans="1:23" ht="18" x14ac:dyDescent="0.35">
      <c r="A81" s="45">
        <v>71</v>
      </c>
      <c r="B81" s="46">
        <v>99136423</v>
      </c>
      <c r="C81" s="47" t="s">
        <v>103</v>
      </c>
      <c r="D81" s="51" t="str">
        <f>VLOOKUP(B81,'[1]FORM XIII'!D$1:G$65536,4,0)</f>
        <v>NEKIRAM</v>
      </c>
      <c r="E81" s="52" t="str">
        <f>VLOOKUP(B81,'[1]FORM XIII'!D$14:I$91,5,0)</f>
        <v>101880112879</v>
      </c>
      <c r="F81" s="53"/>
      <c r="G81" s="54" t="s">
        <v>36</v>
      </c>
      <c r="H81" s="55">
        <v>6</v>
      </c>
      <c r="I81" s="55">
        <v>0</v>
      </c>
      <c r="J81" s="55">
        <v>0</v>
      </c>
      <c r="K81" s="55">
        <f t="shared" si="12"/>
        <v>6</v>
      </c>
      <c r="L81" s="56">
        <v>480.77</v>
      </c>
      <c r="M81" s="57">
        <f t="shared" si="13"/>
        <v>2884.62</v>
      </c>
      <c r="N81" s="57">
        <v>0</v>
      </c>
      <c r="O81" s="57">
        <f t="shared" si="14"/>
        <v>0</v>
      </c>
      <c r="P81" s="58">
        <f t="shared" si="10"/>
        <v>2884.62</v>
      </c>
      <c r="Q81" s="57">
        <f t="shared" si="11"/>
        <v>346</v>
      </c>
      <c r="R81" s="57">
        <f t="shared" si="15"/>
        <v>22</v>
      </c>
      <c r="S81" s="57">
        <v>50</v>
      </c>
      <c r="T81" s="58">
        <f t="shared" si="8"/>
        <v>418</v>
      </c>
      <c r="U81" s="58">
        <f t="shared" si="9"/>
        <v>2466.62</v>
      </c>
      <c r="V81" s="59"/>
      <c r="W81" s="60"/>
    </row>
    <row r="82" spans="1:23" ht="18" x14ac:dyDescent="0.35">
      <c r="A82" s="45">
        <v>72</v>
      </c>
      <c r="B82" s="46">
        <v>99124414</v>
      </c>
      <c r="C82" s="47" t="s">
        <v>104</v>
      </c>
      <c r="D82" s="51" t="str">
        <f>VLOOKUP(B82,'[1]FORM XIII'!D$1:G$65536,4,0)</f>
        <v>BALWANT SINGH</v>
      </c>
      <c r="E82" s="52" t="str">
        <f>VLOOKUP(B82,'[1]FORM XIII'!D$14:I$91,5,0)</f>
        <v>101193921718</v>
      </c>
      <c r="F82" s="53"/>
      <c r="G82" s="54" t="s">
        <v>36</v>
      </c>
      <c r="H82" s="55">
        <v>27</v>
      </c>
      <c r="I82" s="55">
        <v>0</v>
      </c>
      <c r="J82" s="55">
        <v>0</v>
      </c>
      <c r="K82" s="55">
        <f t="shared" si="12"/>
        <v>27</v>
      </c>
      <c r="L82" s="56">
        <v>480.77</v>
      </c>
      <c r="M82" s="57">
        <f t="shared" si="13"/>
        <v>12980.789999999999</v>
      </c>
      <c r="N82" s="57">
        <v>8</v>
      </c>
      <c r="O82" s="57">
        <f t="shared" si="14"/>
        <v>481</v>
      </c>
      <c r="P82" s="58">
        <f t="shared" si="10"/>
        <v>13461.789999999999</v>
      </c>
      <c r="Q82" s="57">
        <f t="shared" si="11"/>
        <v>1558</v>
      </c>
      <c r="R82" s="57">
        <f t="shared" si="15"/>
        <v>101</v>
      </c>
      <c r="S82" s="57"/>
      <c r="T82" s="58">
        <f t="shared" si="8"/>
        <v>1659</v>
      </c>
      <c r="U82" s="58">
        <f t="shared" si="9"/>
        <v>11802.789999999999</v>
      </c>
      <c r="V82" s="59"/>
      <c r="W82" s="60"/>
    </row>
    <row r="83" spans="1:23" ht="18" x14ac:dyDescent="0.35">
      <c r="A83" s="45">
        <v>73</v>
      </c>
      <c r="B83" s="46">
        <v>99134665</v>
      </c>
      <c r="C83" s="47" t="s">
        <v>105</v>
      </c>
      <c r="D83" s="51" t="str">
        <f>VLOOKUP(B83,'[1]FORM XIII'!D$1:G$65536,4,0)</f>
        <v>BABLU</v>
      </c>
      <c r="E83" s="52" t="str">
        <f>VLOOKUP(B83,'[1]FORM XIII'!D$14:I$91,5,0)</f>
        <v>101335636012</v>
      </c>
      <c r="F83" s="53"/>
      <c r="G83" s="54" t="s">
        <v>36</v>
      </c>
      <c r="H83" s="55">
        <v>19</v>
      </c>
      <c r="I83" s="55">
        <v>0</v>
      </c>
      <c r="J83" s="55">
        <v>0</v>
      </c>
      <c r="K83" s="55">
        <f t="shared" si="12"/>
        <v>19</v>
      </c>
      <c r="L83" s="56">
        <v>480.77</v>
      </c>
      <c r="M83" s="57">
        <f t="shared" si="13"/>
        <v>9134.6299999999992</v>
      </c>
      <c r="N83" s="57">
        <v>8</v>
      </c>
      <c r="O83" s="57">
        <f t="shared" si="14"/>
        <v>481</v>
      </c>
      <c r="P83" s="58">
        <f t="shared" si="10"/>
        <v>9615.6299999999992</v>
      </c>
      <c r="Q83" s="57">
        <f t="shared" si="11"/>
        <v>1096</v>
      </c>
      <c r="R83" s="57">
        <f t="shared" si="15"/>
        <v>72</v>
      </c>
      <c r="S83" s="57"/>
      <c r="T83" s="58">
        <f t="shared" si="8"/>
        <v>1168</v>
      </c>
      <c r="U83" s="58">
        <f t="shared" si="9"/>
        <v>8447.6299999999992</v>
      </c>
      <c r="V83" s="59"/>
      <c r="W83" s="60"/>
    </row>
    <row r="84" spans="1:23" ht="18" x14ac:dyDescent="0.35">
      <c r="A84" s="45">
        <v>74</v>
      </c>
      <c r="B84" s="46">
        <v>99134789</v>
      </c>
      <c r="C84" s="47" t="s">
        <v>106</v>
      </c>
      <c r="D84" s="51" t="str">
        <f>VLOOKUP(B84,'[1]FORM XIII'!D$1:G$65536,4,0)</f>
        <v>NOURATU</v>
      </c>
      <c r="E84" s="52" t="str">
        <f>VLOOKUP(B84,'[1]FORM XIII'!D$14:I$91,5,0)</f>
        <v>102138312749</v>
      </c>
      <c r="F84" s="53"/>
      <c r="G84" s="54" t="s">
        <v>36</v>
      </c>
      <c r="H84" s="55">
        <v>20</v>
      </c>
      <c r="I84" s="55">
        <v>0</v>
      </c>
      <c r="J84" s="55">
        <v>0</v>
      </c>
      <c r="K84" s="55">
        <f t="shared" si="12"/>
        <v>20</v>
      </c>
      <c r="L84" s="56">
        <v>480.77</v>
      </c>
      <c r="M84" s="57">
        <f t="shared" si="13"/>
        <v>9615.4</v>
      </c>
      <c r="N84" s="57">
        <v>5</v>
      </c>
      <c r="O84" s="57">
        <f t="shared" si="14"/>
        <v>300</v>
      </c>
      <c r="P84" s="58">
        <f t="shared" si="10"/>
        <v>9915.4</v>
      </c>
      <c r="Q84" s="57">
        <f t="shared" si="11"/>
        <v>1154</v>
      </c>
      <c r="R84" s="57">
        <f t="shared" si="15"/>
        <v>74</v>
      </c>
      <c r="S84" s="57">
        <v>100</v>
      </c>
      <c r="T84" s="58">
        <f t="shared" si="8"/>
        <v>1328</v>
      </c>
      <c r="U84" s="58">
        <f t="shared" si="9"/>
        <v>8587.4</v>
      </c>
      <c r="V84" s="59"/>
      <c r="W84" s="60"/>
    </row>
    <row r="85" spans="1:23" ht="18" x14ac:dyDescent="0.35">
      <c r="A85" s="45">
        <v>75</v>
      </c>
      <c r="B85" s="46">
        <v>99136626</v>
      </c>
      <c r="C85" s="47" t="s">
        <v>107</v>
      </c>
      <c r="D85" s="51" t="str">
        <f>VLOOKUP(B85,'[1]FORM XIII'!D$1:G$65536,4,0)</f>
        <v>RAJPAL SINGH</v>
      </c>
      <c r="E85" s="52" t="str">
        <f>VLOOKUP(B85,'[1]FORM XIII'!D$14:I$91,5,0)</f>
        <v>102238929336</v>
      </c>
      <c r="F85" s="53"/>
      <c r="G85" s="54" t="s">
        <v>36</v>
      </c>
      <c r="H85" s="55">
        <v>23</v>
      </c>
      <c r="I85" s="55">
        <v>0</v>
      </c>
      <c r="J85" s="55">
        <v>0</v>
      </c>
      <c r="K85" s="55">
        <f t="shared" si="12"/>
        <v>23</v>
      </c>
      <c r="L85" s="56">
        <v>480.77</v>
      </c>
      <c r="M85" s="57">
        <f t="shared" si="13"/>
        <v>11057.71</v>
      </c>
      <c r="N85" s="57">
        <v>9</v>
      </c>
      <c r="O85" s="57">
        <f t="shared" si="14"/>
        <v>541</v>
      </c>
      <c r="P85" s="58">
        <f t="shared" si="10"/>
        <v>11598.71</v>
      </c>
      <c r="Q85" s="57">
        <f t="shared" si="11"/>
        <v>1327</v>
      </c>
      <c r="R85" s="57">
        <f t="shared" si="15"/>
        <v>87</v>
      </c>
      <c r="S85" s="57"/>
      <c r="T85" s="58">
        <f t="shared" si="8"/>
        <v>1414</v>
      </c>
      <c r="U85" s="58">
        <f t="shared" si="9"/>
        <v>10184.709999999999</v>
      </c>
      <c r="V85" s="59"/>
      <c r="W85" s="60"/>
    </row>
    <row r="86" spans="1:23" ht="18" x14ac:dyDescent="0.35">
      <c r="A86" s="45">
        <v>76</v>
      </c>
      <c r="B86" s="46">
        <v>99136729</v>
      </c>
      <c r="C86" s="47" t="s">
        <v>108</v>
      </c>
      <c r="D86" s="51" t="str">
        <f>VLOOKUP(B86,'[1]FORM XIII'!D$1:G$65536,4,0)</f>
        <v>CHOTE LAL</v>
      </c>
      <c r="E86" s="52" t="str">
        <f>VLOOKUP(B86,'[1]FORM XIII'!D$14:I$91,5,0)</f>
        <v>102236743417</v>
      </c>
      <c r="F86" s="53"/>
      <c r="G86" s="54" t="s">
        <v>36</v>
      </c>
      <c r="H86" s="55">
        <v>16</v>
      </c>
      <c r="I86" s="55">
        <v>0</v>
      </c>
      <c r="J86" s="55">
        <v>0</v>
      </c>
      <c r="K86" s="55">
        <f t="shared" si="12"/>
        <v>16</v>
      </c>
      <c r="L86" s="56">
        <v>480.77</v>
      </c>
      <c r="M86" s="57">
        <f t="shared" si="13"/>
        <v>7692.32</v>
      </c>
      <c r="N86" s="57">
        <v>2</v>
      </c>
      <c r="O86" s="57">
        <f t="shared" si="14"/>
        <v>120</v>
      </c>
      <c r="P86" s="58">
        <f t="shared" si="10"/>
        <v>7812.32</v>
      </c>
      <c r="Q86" s="57">
        <f t="shared" si="11"/>
        <v>923</v>
      </c>
      <c r="R86" s="57">
        <f t="shared" si="15"/>
        <v>59</v>
      </c>
      <c r="S86" s="57"/>
      <c r="T86" s="58">
        <f t="shared" si="8"/>
        <v>982</v>
      </c>
      <c r="U86" s="58">
        <f t="shared" si="9"/>
        <v>6830.32</v>
      </c>
      <c r="V86" s="59"/>
      <c r="W86" s="60"/>
    </row>
    <row r="87" spans="1:23" ht="18" x14ac:dyDescent="0.35">
      <c r="A87" s="45">
        <v>77</v>
      </c>
      <c r="B87" s="46">
        <v>99124713</v>
      </c>
      <c r="C87" s="47" t="s">
        <v>109</v>
      </c>
      <c r="D87" s="51" t="str">
        <f>VLOOKUP(B87,'[1]FORM XIII'!D$1:G$65536,4,0)</f>
        <v>NOOR MOHAMMAD</v>
      </c>
      <c r="E87" s="52" t="str">
        <f>VLOOKUP(B87,'[1]FORM XIII'!D$14:I$91,5,0)</f>
        <v>101624515319</v>
      </c>
      <c r="F87" s="53"/>
      <c r="G87" s="54" t="s">
        <v>36</v>
      </c>
      <c r="H87" s="55">
        <v>6</v>
      </c>
      <c r="I87" s="55">
        <v>0</v>
      </c>
      <c r="J87" s="55">
        <v>0</v>
      </c>
      <c r="K87" s="55">
        <f t="shared" si="12"/>
        <v>6</v>
      </c>
      <c r="L87" s="56">
        <v>480.77</v>
      </c>
      <c r="M87" s="57">
        <f t="shared" si="13"/>
        <v>2884.62</v>
      </c>
      <c r="N87" s="57">
        <v>0</v>
      </c>
      <c r="O87" s="57">
        <f t="shared" si="14"/>
        <v>0</v>
      </c>
      <c r="P87" s="58">
        <f t="shared" si="10"/>
        <v>2884.62</v>
      </c>
      <c r="Q87" s="57">
        <f t="shared" si="11"/>
        <v>346</v>
      </c>
      <c r="R87" s="57">
        <f t="shared" si="15"/>
        <v>22</v>
      </c>
      <c r="S87" s="57"/>
      <c r="T87" s="58">
        <f t="shared" si="8"/>
        <v>368</v>
      </c>
      <c r="U87" s="58">
        <f t="shared" si="9"/>
        <v>2516.62</v>
      </c>
      <c r="V87" s="59"/>
      <c r="W87" s="60"/>
    </row>
    <row r="88" spans="1:23" ht="18" x14ac:dyDescent="0.35">
      <c r="A88" s="45">
        <v>78</v>
      </c>
      <c r="B88" s="46">
        <v>72232107</v>
      </c>
      <c r="C88" s="47" t="s">
        <v>110</v>
      </c>
      <c r="D88" s="51" t="str">
        <f>VLOOKUP(B88,'[1]FORM XIII'!D$1:G$65536,4,0)</f>
        <v>OMPAL</v>
      </c>
      <c r="E88" s="52" t="str">
        <f>VLOOKUP(B88,'[1]FORM XIII'!D$14:I$91,5,0)</f>
        <v>101092821625</v>
      </c>
      <c r="F88" s="53"/>
      <c r="G88" s="54" t="s">
        <v>36</v>
      </c>
      <c r="H88" s="55">
        <v>17</v>
      </c>
      <c r="I88" s="55">
        <v>0</v>
      </c>
      <c r="J88" s="55">
        <v>0</v>
      </c>
      <c r="K88" s="55">
        <f t="shared" si="12"/>
        <v>17</v>
      </c>
      <c r="L88" s="56">
        <v>480.77</v>
      </c>
      <c r="M88" s="57">
        <f t="shared" si="13"/>
        <v>8173.09</v>
      </c>
      <c r="N88" s="57">
        <v>27</v>
      </c>
      <c r="O88" s="57">
        <f t="shared" si="14"/>
        <v>1623</v>
      </c>
      <c r="P88" s="58">
        <f t="shared" si="10"/>
        <v>9796.09</v>
      </c>
      <c r="Q88" s="57">
        <f t="shared" si="11"/>
        <v>981</v>
      </c>
      <c r="R88" s="57">
        <f t="shared" si="15"/>
        <v>73</v>
      </c>
      <c r="S88" s="57">
        <v>250</v>
      </c>
      <c r="T88" s="58">
        <f t="shared" si="8"/>
        <v>1304</v>
      </c>
      <c r="U88" s="58">
        <f t="shared" si="9"/>
        <v>8492.09</v>
      </c>
      <c r="V88" s="59"/>
      <c r="W88" s="60"/>
    </row>
    <row r="89" spans="1:23" ht="18" x14ac:dyDescent="0.35">
      <c r="A89" s="45">
        <v>79</v>
      </c>
      <c r="B89" s="46">
        <v>99134082</v>
      </c>
      <c r="C89" s="47" t="s">
        <v>111</v>
      </c>
      <c r="D89" s="51" t="str">
        <f>VLOOKUP(B89,'[1]FORM XIII'!D$1:G$65536,4,0)</f>
        <v>SATPAL</v>
      </c>
      <c r="E89" s="52" t="e">
        <f>VLOOKUP(B89,'[1]FORM XIII'!D$14:I$91,5,0)</f>
        <v>#N/A</v>
      </c>
      <c r="F89" s="53"/>
      <c r="G89" s="54" t="s">
        <v>36</v>
      </c>
      <c r="H89" s="55">
        <v>15</v>
      </c>
      <c r="I89" s="55">
        <v>0</v>
      </c>
      <c r="J89" s="55">
        <v>0</v>
      </c>
      <c r="K89" s="55">
        <f t="shared" si="12"/>
        <v>15</v>
      </c>
      <c r="L89" s="56">
        <v>480.77</v>
      </c>
      <c r="M89" s="57">
        <f t="shared" si="13"/>
        <v>7211.5499999999993</v>
      </c>
      <c r="N89" s="57">
        <v>1</v>
      </c>
      <c r="O89" s="57">
        <f t="shared" si="14"/>
        <v>60</v>
      </c>
      <c r="P89" s="58">
        <f t="shared" si="10"/>
        <v>7271.5499999999993</v>
      </c>
      <c r="Q89" s="57">
        <f t="shared" si="11"/>
        <v>865</v>
      </c>
      <c r="R89" s="57">
        <f t="shared" si="15"/>
        <v>55</v>
      </c>
      <c r="S89" s="57"/>
      <c r="T89" s="58">
        <f t="shared" si="8"/>
        <v>920</v>
      </c>
      <c r="U89" s="58">
        <f t="shared" si="9"/>
        <v>6351.5499999999993</v>
      </c>
      <c r="V89" s="59"/>
      <c r="W89" s="60"/>
    </row>
    <row r="90" spans="1:23" ht="18" x14ac:dyDescent="0.35">
      <c r="A90" s="45">
        <v>80</v>
      </c>
      <c r="B90" s="46">
        <v>99136892</v>
      </c>
      <c r="C90" s="47" t="s">
        <v>112</v>
      </c>
      <c r="D90" s="51" t="str">
        <f>VLOOKUP(B90,'[1]FORM XIII'!D$1:G$65536,4,0)</f>
        <v>GIRIRAJ</v>
      </c>
      <c r="E90" s="52" t="e">
        <f>VLOOKUP(B90,'[1]FORM XIII'!D$14:I$91,5,0)</f>
        <v>#N/A</v>
      </c>
      <c r="F90" s="53"/>
      <c r="G90" s="54" t="s">
        <v>36</v>
      </c>
      <c r="H90" s="55">
        <v>18</v>
      </c>
      <c r="I90" s="55">
        <v>0</v>
      </c>
      <c r="J90" s="55">
        <v>0</v>
      </c>
      <c r="K90" s="55">
        <f t="shared" si="12"/>
        <v>18</v>
      </c>
      <c r="L90" s="56">
        <v>480.77</v>
      </c>
      <c r="M90" s="57">
        <f t="shared" si="13"/>
        <v>8653.86</v>
      </c>
      <c r="N90" s="57">
        <v>21</v>
      </c>
      <c r="O90" s="57">
        <f t="shared" si="14"/>
        <v>1262</v>
      </c>
      <c r="P90" s="58">
        <f t="shared" si="10"/>
        <v>9915.86</v>
      </c>
      <c r="Q90" s="57">
        <f t="shared" si="11"/>
        <v>1038</v>
      </c>
      <c r="R90" s="57">
        <f t="shared" si="15"/>
        <v>74</v>
      </c>
      <c r="S90" s="57"/>
      <c r="T90" s="58">
        <f t="shared" si="8"/>
        <v>1112</v>
      </c>
      <c r="U90" s="58">
        <f t="shared" si="9"/>
        <v>8803.86</v>
      </c>
      <c r="V90" s="59"/>
      <c r="W90" s="60"/>
    </row>
    <row r="91" spans="1:23" ht="18" x14ac:dyDescent="0.35">
      <c r="A91" s="45">
        <v>81</v>
      </c>
      <c r="B91" s="46">
        <v>99134846</v>
      </c>
      <c r="C91" s="47" t="s">
        <v>113</v>
      </c>
      <c r="D91" s="51" t="str">
        <f>VLOOKUP(B91,'[1]FORM XIII'!D$1:G$65536,4,0)</f>
        <v>ANEES</v>
      </c>
      <c r="E91" s="52" t="e">
        <f>VLOOKUP(B91,'[1]FORM XIII'!D$14:I$91,5,0)</f>
        <v>#N/A</v>
      </c>
      <c r="F91" s="53"/>
      <c r="G91" s="54" t="s">
        <v>36</v>
      </c>
      <c r="H91" s="55">
        <v>2</v>
      </c>
      <c r="I91" s="55">
        <v>0</v>
      </c>
      <c r="J91" s="55">
        <v>0</v>
      </c>
      <c r="K91" s="55">
        <f t="shared" si="12"/>
        <v>2</v>
      </c>
      <c r="L91" s="56">
        <v>480.77</v>
      </c>
      <c r="M91" s="57">
        <f t="shared" si="13"/>
        <v>961.54</v>
      </c>
      <c r="N91" s="57">
        <v>0</v>
      </c>
      <c r="O91" s="57">
        <f t="shared" si="14"/>
        <v>0</v>
      </c>
      <c r="P91" s="58">
        <f t="shared" si="10"/>
        <v>961.54</v>
      </c>
      <c r="Q91" s="57">
        <f t="shared" si="11"/>
        <v>115</v>
      </c>
      <c r="R91" s="57">
        <f t="shared" si="15"/>
        <v>7</v>
      </c>
      <c r="S91" s="57">
        <v>50</v>
      </c>
      <c r="T91" s="58">
        <f t="shared" si="8"/>
        <v>172</v>
      </c>
      <c r="U91" s="58">
        <f t="shared" si="9"/>
        <v>789.54</v>
      </c>
      <c r="V91" s="59"/>
      <c r="W91" s="60"/>
    </row>
    <row r="92" spans="1:23" ht="18" x14ac:dyDescent="0.35">
      <c r="A92" s="45">
        <v>82</v>
      </c>
      <c r="B92" s="46">
        <v>99135486</v>
      </c>
      <c r="C92" s="47" t="s">
        <v>114</v>
      </c>
      <c r="D92" s="51" t="str">
        <f>VLOOKUP(B92,'[1]FORM XIII'!D$1:G$65536,4,0)</f>
        <v>MANGERAM</v>
      </c>
      <c r="E92" s="52" t="e">
        <f>VLOOKUP(B92,'[1]FORM XIII'!D$14:I$91,5,0)</f>
        <v>#N/A</v>
      </c>
      <c r="F92" s="53"/>
      <c r="G92" s="54" t="s">
        <v>36</v>
      </c>
      <c r="H92" s="55">
        <v>13</v>
      </c>
      <c r="I92" s="55">
        <v>0</v>
      </c>
      <c r="J92" s="55">
        <v>0</v>
      </c>
      <c r="K92" s="55">
        <f t="shared" si="12"/>
        <v>13</v>
      </c>
      <c r="L92" s="56">
        <v>480.77</v>
      </c>
      <c r="M92" s="57">
        <f t="shared" si="13"/>
        <v>6250.01</v>
      </c>
      <c r="N92" s="57">
        <v>0</v>
      </c>
      <c r="O92" s="57">
        <f t="shared" si="14"/>
        <v>0</v>
      </c>
      <c r="P92" s="58">
        <f t="shared" si="10"/>
        <v>6250.01</v>
      </c>
      <c r="Q92" s="57">
        <f t="shared" si="11"/>
        <v>750</v>
      </c>
      <c r="R92" s="57">
        <f t="shared" si="15"/>
        <v>47</v>
      </c>
      <c r="S92" s="57"/>
      <c r="T92" s="58">
        <f t="shared" si="8"/>
        <v>797</v>
      </c>
      <c r="U92" s="58">
        <f t="shared" si="9"/>
        <v>5453.01</v>
      </c>
      <c r="V92" s="59"/>
      <c r="W92" s="60"/>
    </row>
    <row r="93" spans="1:23" ht="18" x14ac:dyDescent="0.35">
      <c r="A93" s="45">
        <v>83</v>
      </c>
      <c r="B93" s="46">
        <v>99135487</v>
      </c>
      <c r="C93" s="47" t="s">
        <v>115</v>
      </c>
      <c r="D93" s="51" t="str">
        <f>VLOOKUP(B93,'[1]FORM XIII'!D$1:G$65536,4,0)</f>
        <v>VINOD</v>
      </c>
      <c r="E93" s="52" t="e">
        <f>VLOOKUP(B93,'[1]FORM XIII'!D$14:I$91,5,0)</f>
        <v>#N/A</v>
      </c>
      <c r="F93" s="53"/>
      <c r="G93" s="54" t="s">
        <v>36</v>
      </c>
      <c r="H93" s="55">
        <v>18</v>
      </c>
      <c r="I93" s="55">
        <v>0</v>
      </c>
      <c r="J93" s="55">
        <v>0</v>
      </c>
      <c r="K93" s="55">
        <f t="shared" si="12"/>
        <v>18</v>
      </c>
      <c r="L93" s="56">
        <v>480.77</v>
      </c>
      <c r="M93" s="57">
        <f t="shared" si="13"/>
        <v>8653.86</v>
      </c>
      <c r="N93" s="57">
        <v>8</v>
      </c>
      <c r="O93" s="57">
        <f t="shared" si="14"/>
        <v>481</v>
      </c>
      <c r="P93" s="58">
        <f t="shared" si="10"/>
        <v>9134.86</v>
      </c>
      <c r="Q93" s="57">
        <f t="shared" si="11"/>
        <v>1038</v>
      </c>
      <c r="R93" s="57">
        <f t="shared" si="15"/>
        <v>69</v>
      </c>
      <c r="S93" s="57"/>
      <c r="T93" s="58">
        <f t="shared" si="8"/>
        <v>1107</v>
      </c>
      <c r="U93" s="58">
        <f t="shared" si="9"/>
        <v>8027.8600000000006</v>
      </c>
      <c r="V93" s="59"/>
      <c r="W93" s="60"/>
    </row>
    <row r="94" spans="1:23" ht="18" x14ac:dyDescent="0.35">
      <c r="A94" s="45">
        <v>84</v>
      </c>
      <c r="B94" s="46">
        <v>99135488</v>
      </c>
      <c r="C94" s="47" t="s">
        <v>85</v>
      </c>
      <c r="D94" s="51" t="str">
        <f>VLOOKUP(B94,'[1]FORM XIII'!D$1:G$65536,4,0)</f>
        <v>SANTRAM</v>
      </c>
      <c r="E94" s="52" t="e">
        <f>VLOOKUP(B94,'[1]FORM XIII'!D$14:I$91,5,0)</f>
        <v>#N/A</v>
      </c>
      <c r="F94" s="53"/>
      <c r="G94" s="54" t="s">
        <v>36</v>
      </c>
      <c r="H94" s="55">
        <v>10</v>
      </c>
      <c r="I94" s="55">
        <v>0.5</v>
      </c>
      <c r="J94" s="55">
        <v>0</v>
      </c>
      <c r="K94" s="55">
        <f t="shared" si="12"/>
        <v>9.5</v>
      </c>
      <c r="L94" s="56">
        <v>480.77</v>
      </c>
      <c r="M94" s="57">
        <f t="shared" si="13"/>
        <v>4567.3149999999996</v>
      </c>
      <c r="N94" s="57">
        <v>0</v>
      </c>
      <c r="O94" s="57">
        <f t="shared" si="14"/>
        <v>0</v>
      </c>
      <c r="P94" s="58">
        <f t="shared" si="10"/>
        <v>4567.3149999999996</v>
      </c>
      <c r="Q94" s="57">
        <f t="shared" si="11"/>
        <v>548</v>
      </c>
      <c r="R94" s="57">
        <f t="shared" si="15"/>
        <v>34</v>
      </c>
      <c r="S94" s="57"/>
      <c r="T94" s="58">
        <f t="shared" si="8"/>
        <v>582</v>
      </c>
      <c r="U94" s="58">
        <f t="shared" si="9"/>
        <v>3985.3149999999996</v>
      </c>
      <c r="V94" s="59"/>
      <c r="W94" s="60"/>
    </row>
    <row r="95" spans="1:23" ht="18" x14ac:dyDescent="0.35">
      <c r="A95" s="45">
        <v>85</v>
      </c>
      <c r="B95" s="46">
        <v>99135489</v>
      </c>
      <c r="C95" s="47" t="s">
        <v>116</v>
      </c>
      <c r="D95" s="51" t="str">
        <f>VLOOKUP(B95,'[1]FORM XIII'!D$1:G$65536,4,0)</f>
        <v>MOHAN</v>
      </c>
      <c r="E95" s="52" t="e">
        <f>VLOOKUP(B95,'[1]FORM XIII'!D$14:I$91,5,0)</f>
        <v>#N/A</v>
      </c>
      <c r="F95" s="53"/>
      <c r="G95" s="54" t="s">
        <v>36</v>
      </c>
      <c r="H95" s="55">
        <v>17</v>
      </c>
      <c r="I95" s="55">
        <v>0</v>
      </c>
      <c r="J95" s="55">
        <v>0</v>
      </c>
      <c r="K95" s="55">
        <f t="shared" si="12"/>
        <v>17</v>
      </c>
      <c r="L95" s="56">
        <v>480.77</v>
      </c>
      <c r="M95" s="57">
        <f t="shared" si="13"/>
        <v>8173.09</v>
      </c>
      <c r="N95" s="57">
        <v>16</v>
      </c>
      <c r="O95" s="57">
        <f t="shared" si="14"/>
        <v>962</v>
      </c>
      <c r="P95" s="58">
        <f t="shared" si="10"/>
        <v>9135.09</v>
      </c>
      <c r="Q95" s="57">
        <f t="shared" si="11"/>
        <v>981</v>
      </c>
      <c r="R95" s="57">
        <f t="shared" si="15"/>
        <v>69</v>
      </c>
      <c r="S95" s="57"/>
      <c r="T95" s="58">
        <f t="shared" si="8"/>
        <v>1050</v>
      </c>
      <c r="U95" s="58">
        <f t="shared" si="9"/>
        <v>8085.09</v>
      </c>
      <c r="V95" s="59"/>
      <c r="W95" s="60"/>
    </row>
    <row r="96" spans="1:23" ht="18" x14ac:dyDescent="0.35">
      <c r="A96" s="45">
        <v>86</v>
      </c>
      <c r="B96" s="46">
        <v>99135608</v>
      </c>
      <c r="C96" s="47" t="s">
        <v>117</v>
      </c>
      <c r="D96" s="51" t="str">
        <f>VLOOKUP(B96,'[1]FORM XIII'!D$1:G$65536,4,0)</f>
        <v>MAHMOOD</v>
      </c>
      <c r="E96" s="52" t="e">
        <f>VLOOKUP(B96,'[1]FORM XIII'!D$14:I$91,5,0)</f>
        <v>#N/A</v>
      </c>
      <c r="F96" s="53"/>
      <c r="G96" s="54" t="s">
        <v>36</v>
      </c>
      <c r="H96" s="55">
        <v>4</v>
      </c>
      <c r="I96" s="55">
        <v>0</v>
      </c>
      <c r="J96" s="55">
        <v>0</v>
      </c>
      <c r="K96" s="55">
        <f t="shared" si="12"/>
        <v>4</v>
      </c>
      <c r="L96" s="56">
        <v>480.77</v>
      </c>
      <c r="M96" s="57">
        <f t="shared" si="13"/>
        <v>1923.08</v>
      </c>
      <c r="N96" s="57">
        <v>0</v>
      </c>
      <c r="O96" s="57">
        <f t="shared" si="14"/>
        <v>0</v>
      </c>
      <c r="P96" s="58">
        <f t="shared" si="10"/>
        <v>1923.08</v>
      </c>
      <c r="Q96" s="57">
        <f t="shared" si="11"/>
        <v>231</v>
      </c>
      <c r="R96" s="57">
        <f t="shared" si="15"/>
        <v>14</v>
      </c>
      <c r="S96" s="57"/>
      <c r="T96" s="58">
        <f t="shared" si="8"/>
        <v>245</v>
      </c>
      <c r="U96" s="58">
        <f t="shared" si="9"/>
        <v>1678.08</v>
      </c>
      <c r="V96" s="59"/>
      <c r="W96" s="60"/>
    </row>
    <row r="97" spans="1:23" ht="18" x14ac:dyDescent="0.35">
      <c r="A97" s="45">
        <v>87</v>
      </c>
      <c r="B97" s="46">
        <v>99135775</v>
      </c>
      <c r="C97" s="47" t="s">
        <v>118</v>
      </c>
      <c r="D97" s="51" t="str">
        <f>VLOOKUP(B97,'[1]FORM XIII'!D$1:G$65536,4,0)</f>
        <v>RAFIQ KHAN</v>
      </c>
      <c r="E97" s="52" t="e">
        <f>VLOOKUP(B97,'[1]FORM XIII'!D$14:I$91,5,0)</f>
        <v>#N/A</v>
      </c>
      <c r="F97" s="53"/>
      <c r="G97" s="54" t="s">
        <v>36</v>
      </c>
      <c r="H97" s="55">
        <v>18</v>
      </c>
      <c r="I97" s="55">
        <v>0</v>
      </c>
      <c r="J97" s="55">
        <v>0</v>
      </c>
      <c r="K97" s="55">
        <f t="shared" si="12"/>
        <v>18</v>
      </c>
      <c r="L97" s="56">
        <v>480.77</v>
      </c>
      <c r="M97" s="57">
        <f t="shared" si="13"/>
        <v>8653.86</v>
      </c>
      <c r="N97" s="57">
        <v>5</v>
      </c>
      <c r="O97" s="57">
        <f>ROUND(L97/8*N97,)</f>
        <v>300</v>
      </c>
      <c r="P97" s="58">
        <f>+M97+O97</f>
        <v>8953.86</v>
      </c>
      <c r="Q97" s="57">
        <f>+ROUND(M97*12%,0)</f>
        <v>1038</v>
      </c>
      <c r="R97" s="57">
        <f>+ROUND(P97*0.75%,0)</f>
        <v>67</v>
      </c>
      <c r="S97" s="57"/>
      <c r="T97" s="58">
        <f>SUM(Q97:S97)</f>
        <v>1105</v>
      </c>
      <c r="U97" s="58">
        <f>+P97-T97</f>
        <v>7848.8600000000006</v>
      </c>
      <c r="V97" s="59"/>
      <c r="W97" s="60"/>
    </row>
    <row r="98" spans="1:23" ht="18" x14ac:dyDescent="0.35">
      <c r="A98" s="45">
        <v>88</v>
      </c>
      <c r="B98" s="46">
        <v>99135798</v>
      </c>
      <c r="C98" s="47" t="s">
        <v>96</v>
      </c>
      <c r="D98" s="51" t="str">
        <f>VLOOKUP(B98,'[1]FORM XIII'!D$1:G$65536,4,0)</f>
        <v>JODHA</v>
      </c>
      <c r="E98" s="52" t="e">
        <f>VLOOKUP(B98,'[1]FORM XIII'!D$14:I$91,5,0)</f>
        <v>#N/A</v>
      </c>
      <c r="F98" s="53"/>
      <c r="G98" s="54" t="s">
        <v>36</v>
      </c>
      <c r="H98" s="55">
        <v>16</v>
      </c>
      <c r="I98" s="55">
        <v>0</v>
      </c>
      <c r="J98" s="55">
        <v>0</v>
      </c>
      <c r="K98" s="55">
        <f t="shared" si="12"/>
        <v>16</v>
      </c>
      <c r="L98" s="56">
        <v>480.77</v>
      </c>
      <c r="M98" s="57">
        <f t="shared" si="13"/>
        <v>7692.32</v>
      </c>
      <c r="N98" s="57">
        <v>9</v>
      </c>
      <c r="O98" s="57">
        <f>ROUND(L98/8*N98,)</f>
        <v>541</v>
      </c>
      <c r="P98" s="58">
        <f>+M98+O98</f>
        <v>8233.32</v>
      </c>
      <c r="Q98" s="57">
        <f>+ROUND(M98*12%,0)</f>
        <v>923</v>
      </c>
      <c r="R98" s="57">
        <f>+ROUND(P98*0.75%,0)</f>
        <v>62</v>
      </c>
      <c r="S98" s="57"/>
      <c r="T98" s="58">
        <f>SUM(Q98:S98)</f>
        <v>985</v>
      </c>
      <c r="U98" s="58">
        <f>+P98-T98</f>
        <v>7248.32</v>
      </c>
      <c r="V98" s="59"/>
      <c r="W98" s="60"/>
    </row>
    <row r="99" spans="1:23" ht="18" x14ac:dyDescent="0.35">
      <c r="A99" s="45">
        <v>89</v>
      </c>
      <c r="B99" s="46">
        <v>99135878</v>
      </c>
      <c r="C99" s="47" t="s">
        <v>77</v>
      </c>
      <c r="D99" s="51" t="str">
        <f>VLOOKUP(B99,'[1]FORM XIII'!D$1:G$65536,4,0)</f>
        <v>OMPAL</v>
      </c>
      <c r="E99" s="52" t="e">
        <f>VLOOKUP(B99,'[1]FORM XIII'!D$14:I$91,5,0)</f>
        <v>#N/A</v>
      </c>
      <c r="F99" s="53"/>
      <c r="G99" s="54" t="s">
        <v>36</v>
      </c>
      <c r="H99" s="55">
        <v>24</v>
      </c>
      <c r="I99" s="55">
        <v>0</v>
      </c>
      <c r="J99" s="55">
        <v>0</v>
      </c>
      <c r="K99" s="55">
        <f t="shared" si="12"/>
        <v>24</v>
      </c>
      <c r="L99" s="56">
        <v>480.77</v>
      </c>
      <c r="M99" s="57">
        <f t="shared" si="13"/>
        <v>11538.48</v>
      </c>
      <c r="N99" s="57">
        <v>21</v>
      </c>
      <c r="O99" s="57">
        <f>ROUND(L99/8*N99,)</f>
        <v>1262</v>
      </c>
      <c r="P99" s="58">
        <f>+M99+O99</f>
        <v>12800.48</v>
      </c>
      <c r="Q99" s="57">
        <f>+ROUND(M99*12%,0)</f>
        <v>1385</v>
      </c>
      <c r="R99" s="57">
        <f>+ROUND(P99*0.75%,0)</f>
        <v>96</v>
      </c>
      <c r="S99" s="57"/>
      <c r="T99" s="58">
        <f>SUM(Q99:S99)</f>
        <v>1481</v>
      </c>
      <c r="U99" s="58">
        <f>+P99-T99</f>
        <v>11319.48</v>
      </c>
      <c r="V99" s="59"/>
      <c r="W99" s="60"/>
    </row>
    <row r="100" spans="1:23" ht="18" x14ac:dyDescent="0.35">
      <c r="A100" s="45">
        <v>90</v>
      </c>
      <c r="B100" s="46">
        <v>99137166</v>
      </c>
      <c r="C100" s="47" t="s">
        <v>119</v>
      </c>
      <c r="D100" s="51" t="str">
        <f>VLOOKUP(B100,'[1]FORM XIII'!D$1:G$65536,4,0)</f>
        <v>RISHIPAL</v>
      </c>
      <c r="E100" s="52" t="e">
        <f>VLOOKUP(B100,'[1]FORM XIII'!D$14:I$91,5,0)</f>
        <v>#N/A</v>
      </c>
      <c r="F100" s="53"/>
      <c r="G100" s="54" t="s">
        <v>36</v>
      </c>
      <c r="H100" s="55">
        <v>18</v>
      </c>
      <c r="I100" s="55">
        <v>0</v>
      </c>
      <c r="J100" s="55">
        <v>0</v>
      </c>
      <c r="K100" s="55">
        <f t="shared" si="12"/>
        <v>18</v>
      </c>
      <c r="L100" s="56">
        <v>480.77</v>
      </c>
      <c r="M100" s="57">
        <f t="shared" si="13"/>
        <v>8653.86</v>
      </c>
      <c r="N100" s="57">
        <v>21</v>
      </c>
      <c r="O100" s="57">
        <f>ROUND(L100/8*N100,)</f>
        <v>1262</v>
      </c>
      <c r="P100" s="58">
        <f>+M100+O100</f>
        <v>9915.86</v>
      </c>
      <c r="Q100" s="57">
        <f>+ROUND(M100*12%,0)</f>
        <v>1038</v>
      </c>
      <c r="R100" s="57">
        <f>+ROUND(P100*0.75%,0)</f>
        <v>74</v>
      </c>
      <c r="S100" s="57"/>
      <c r="T100" s="58">
        <f>SUM(Q100:S100)</f>
        <v>1112</v>
      </c>
      <c r="U100" s="58">
        <f>+P100-T100</f>
        <v>8803.86</v>
      </c>
      <c r="V100" s="59"/>
      <c r="W100" s="60"/>
    </row>
    <row r="101" spans="1:23" ht="18" x14ac:dyDescent="0.35">
      <c r="A101" s="45">
        <v>91</v>
      </c>
      <c r="B101" s="46">
        <v>99137260</v>
      </c>
      <c r="C101" s="47" t="s">
        <v>120</v>
      </c>
      <c r="D101" s="51" t="str">
        <f>VLOOKUP(B101,'[1]FORM XIII'!D$1:G$65536,4,0)</f>
        <v>JIVAN</v>
      </c>
      <c r="E101" s="52" t="e">
        <f>VLOOKUP(B101,'[1]FORM XIII'!D$14:I$91,5,0)</f>
        <v>#N/A</v>
      </c>
      <c r="F101" s="53"/>
      <c r="G101" s="54" t="s">
        <v>36</v>
      </c>
      <c r="H101" s="55">
        <v>12</v>
      </c>
      <c r="I101" s="55">
        <v>0</v>
      </c>
      <c r="J101" s="55">
        <v>0</v>
      </c>
      <c r="K101" s="55">
        <f t="shared" si="12"/>
        <v>12</v>
      </c>
      <c r="L101" s="56">
        <v>480.77</v>
      </c>
      <c r="M101" s="57">
        <f t="shared" si="13"/>
        <v>5769.24</v>
      </c>
      <c r="N101" s="57">
        <v>18</v>
      </c>
      <c r="O101" s="57">
        <f t="shared" si="14"/>
        <v>1082</v>
      </c>
      <c r="P101" s="58">
        <f t="shared" si="10"/>
        <v>6851.24</v>
      </c>
      <c r="Q101" s="57">
        <f t="shared" si="11"/>
        <v>692</v>
      </c>
      <c r="R101" s="57">
        <f t="shared" si="15"/>
        <v>51</v>
      </c>
      <c r="S101" s="57"/>
      <c r="T101" s="58">
        <f t="shared" si="8"/>
        <v>743</v>
      </c>
      <c r="U101" s="58">
        <f t="shared" si="9"/>
        <v>6108.24</v>
      </c>
      <c r="V101" s="59"/>
      <c r="W101" s="60"/>
    </row>
    <row r="102" spans="1:23" ht="18" x14ac:dyDescent="0.35">
      <c r="A102" s="45">
        <v>92</v>
      </c>
      <c r="B102" s="46">
        <v>99137261</v>
      </c>
      <c r="C102" s="47" t="s">
        <v>121</v>
      </c>
      <c r="D102" s="51" t="str">
        <f>VLOOKUP(B102,'[1]FORM XIII'!D$1:G$65536,4,0)</f>
        <v>MANGERAM</v>
      </c>
      <c r="E102" s="52" t="e">
        <f>VLOOKUP(B102,'[1]FORM XIII'!D$14:I$91,5,0)</f>
        <v>#N/A</v>
      </c>
      <c r="F102" s="53"/>
      <c r="G102" s="54" t="s">
        <v>36</v>
      </c>
      <c r="H102" s="55">
        <v>13</v>
      </c>
      <c r="I102" s="55">
        <v>0</v>
      </c>
      <c r="J102" s="55">
        <v>0</v>
      </c>
      <c r="K102" s="55">
        <f t="shared" si="12"/>
        <v>13</v>
      </c>
      <c r="L102" s="56">
        <v>480.77</v>
      </c>
      <c r="M102" s="57">
        <f t="shared" si="13"/>
        <v>6250.01</v>
      </c>
      <c r="N102" s="57">
        <v>22</v>
      </c>
      <c r="O102" s="57">
        <f t="shared" si="14"/>
        <v>1322</v>
      </c>
      <c r="P102" s="58">
        <f t="shared" si="10"/>
        <v>7572.01</v>
      </c>
      <c r="Q102" s="57">
        <f t="shared" si="11"/>
        <v>750</v>
      </c>
      <c r="R102" s="57">
        <f t="shared" si="15"/>
        <v>57</v>
      </c>
      <c r="S102" s="57">
        <v>50</v>
      </c>
      <c r="T102" s="58">
        <f t="shared" si="8"/>
        <v>857</v>
      </c>
      <c r="U102" s="58">
        <f t="shared" si="9"/>
        <v>6715.01</v>
      </c>
      <c r="V102" s="59"/>
      <c r="W102" s="60"/>
    </row>
    <row r="103" spans="1:23" ht="18" x14ac:dyDescent="0.35">
      <c r="A103" s="45">
        <v>93</v>
      </c>
      <c r="B103" s="46">
        <v>99137262</v>
      </c>
      <c r="C103" s="47" t="s">
        <v>122</v>
      </c>
      <c r="D103" s="51" t="str">
        <f>VLOOKUP(B103,'[1]FORM XIII'!D$1:G$65536,4,0)</f>
        <v>SHER ALI</v>
      </c>
      <c r="E103" s="52" t="e">
        <f>VLOOKUP(B103,'[1]FORM XIII'!D$14:I$91,5,0)</f>
        <v>#N/A</v>
      </c>
      <c r="F103" s="53"/>
      <c r="G103" s="54" t="s">
        <v>36</v>
      </c>
      <c r="H103" s="55">
        <v>1</v>
      </c>
      <c r="I103" s="55">
        <v>0</v>
      </c>
      <c r="J103" s="55">
        <v>0</v>
      </c>
      <c r="K103" s="55">
        <f t="shared" si="12"/>
        <v>1</v>
      </c>
      <c r="L103" s="56">
        <v>480.77</v>
      </c>
      <c r="M103" s="57">
        <f t="shared" si="13"/>
        <v>480.77</v>
      </c>
      <c r="N103" s="57">
        <v>0</v>
      </c>
      <c r="O103" s="57">
        <f t="shared" si="14"/>
        <v>0</v>
      </c>
      <c r="P103" s="58">
        <f t="shared" si="10"/>
        <v>480.77</v>
      </c>
      <c r="Q103" s="57">
        <f t="shared" si="11"/>
        <v>58</v>
      </c>
      <c r="R103" s="57">
        <f t="shared" si="15"/>
        <v>4</v>
      </c>
      <c r="S103" s="57"/>
      <c r="T103" s="58">
        <f t="shared" si="8"/>
        <v>62</v>
      </c>
      <c r="U103" s="58">
        <f t="shared" si="9"/>
        <v>418.77</v>
      </c>
      <c r="V103" s="59"/>
      <c r="W103" s="60"/>
    </row>
    <row r="104" spans="1:23" s="66" customFormat="1" ht="21.6" thickBot="1" x14ac:dyDescent="0.45">
      <c r="A104" s="61" t="s">
        <v>19</v>
      </c>
      <c r="B104" s="62"/>
      <c r="C104" s="62"/>
      <c r="D104" s="62"/>
      <c r="E104" s="62"/>
      <c r="F104" s="62"/>
      <c r="G104" s="62"/>
      <c r="H104" s="63">
        <f>SUM(H11:H103)</f>
        <v>1709</v>
      </c>
      <c r="I104" s="63">
        <f t="shared" ref="I104:U104" si="16">SUM(I11:I103)</f>
        <v>0.875</v>
      </c>
      <c r="J104" s="63">
        <f t="shared" si="16"/>
        <v>0</v>
      </c>
      <c r="K104" s="63">
        <f t="shared" si="16"/>
        <v>1708.125</v>
      </c>
      <c r="L104" s="63">
        <f t="shared" si="16"/>
        <v>44956.689999999944</v>
      </c>
      <c r="M104" s="63">
        <f t="shared" si="16"/>
        <v>826178.12624999986</v>
      </c>
      <c r="N104" s="63">
        <f t="shared" si="16"/>
        <v>1259</v>
      </c>
      <c r="O104" s="63">
        <f t="shared" si="16"/>
        <v>76472</v>
      </c>
      <c r="P104" s="63">
        <f t="shared" si="16"/>
        <v>902650.12624999997</v>
      </c>
      <c r="Q104" s="63">
        <f t="shared" si="16"/>
        <v>99144</v>
      </c>
      <c r="R104" s="63">
        <f t="shared" si="16"/>
        <v>6767</v>
      </c>
      <c r="S104" s="63">
        <f t="shared" si="16"/>
        <v>10368</v>
      </c>
      <c r="T104" s="63">
        <f t="shared" si="16"/>
        <v>116279</v>
      </c>
      <c r="U104" s="63">
        <f t="shared" si="16"/>
        <v>786371.12624999986</v>
      </c>
      <c r="V104" s="64"/>
      <c r="W104" s="65"/>
    </row>
    <row r="107" spans="1:23" s="67" customFormat="1" ht="21.6" customHeight="1" x14ac:dyDescent="0.25">
      <c r="B107" s="12"/>
      <c r="C107" s="68"/>
      <c r="D107" s="69"/>
      <c r="H107" s="70" t="s">
        <v>123</v>
      </c>
      <c r="I107" s="71">
        <f>K104</f>
        <v>1708.125</v>
      </c>
    </row>
    <row r="108" spans="1:23" s="67" customFormat="1" ht="21.6" customHeight="1" x14ac:dyDescent="0.25">
      <c r="B108" s="12"/>
      <c r="C108" s="68"/>
      <c r="D108" s="69"/>
      <c r="H108" s="70" t="s">
        <v>124</v>
      </c>
      <c r="I108" s="70">
        <f>N104/8</f>
        <v>157.375</v>
      </c>
    </row>
    <row r="109" spans="1:23" s="67" customFormat="1" ht="21.6" customHeight="1" x14ac:dyDescent="0.25">
      <c r="B109" s="12"/>
      <c r="C109" s="68"/>
      <c r="D109" s="69"/>
      <c r="H109" s="70" t="s">
        <v>125</v>
      </c>
      <c r="I109" s="72">
        <f>I107+I108</f>
        <v>1865.5</v>
      </c>
      <c r="M109" s="73" t="s">
        <v>33</v>
      </c>
      <c r="N109" s="74" t="s">
        <v>126</v>
      </c>
      <c r="O109" s="75">
        <v>7.4999999999999997E-3</v>
      </c>
      <c r="P109" s="75">
        <v>3.2500000000000001E-2</v>
      </c>
      <c r="Q109" s="76" t="s">
        <v>127</v>
      </c>
      <c r="R109" s="77"/>
      <c r="S109" s="77"/>
      <c r="T109" s="77"/>
    </row>
    <row r="110" spans="1:23" x14ac:dyDescent="0.3">
      <c r="D110" s="78"/>
      <c r="M110" s="79"/>
      <c r="N110" s="80">
        <f>P104</f>
        <v>902650.12624999997</v>
      </c>
      <c r="O110" s="81">
        <f>R104</f>
        <v>6767</v>
      </c>
      <c r="P110" s="74">
        <f>ROUND(N110*3.25%,0)</f>
        <v>29336</v>
      </c>
      <c r="Q110" s="82">
        <f>P110+O110</f>
        <v>36103</v>
      </c>
      <c r="R110" s="77"/>
      <c r="S110" s="77"/>
      <c r="T110" s="77"/>
    </row>
    <row r="111" spans="1:23" x14ac:dyDescent="0.3">
      <c r="D111" s="78"/>
      <c r="M111" s="83"/>
      <c r="N111" s="83"/>
      <c r="O111" s="83"/>
      <c r="P111" s="83"/>
      <c r="Q111" s="83"/>
      <c r="R111" s="84"/>
      <c r="S111" s="84"/>
      <c r="T111" s="84"/>
    </row>
    <row r="112" spans="1:23" x14ac:dyDescent="0.3">
      <c r="D112" s="78"/>
      <c r="M112" s="85"/>
      <c r="N112" s="85"/>
      <c r="O112" s="85"/>
      <c r="P112" s="85"/>
      <c r="Q112" s="85"/>
      <c r="R112" s="84"/>
      <c r="S112" s="84"/>
      <c r="T112" s="84"/>
    </row>
    <row r="113" spans="4:20" x14ac:dyDescent="0.3">
      <c r="D113" s="78"/>
      <c r="M113" s="86" t="s">
        <v>128</v>
      </c>
      <c r="N113" s="74" t="s">
        <v>126</v>
      </c>
      <c r="O113" s="87">
        <v>0.12</v>
      </c>
      <c r="P113" s="87">
        <v>0.13</v>
      </c>
      <c r="Q113" s="76" t="s">
        <v>129</v>
      </c>
      <c r="R113" s="88"/>
      <c r="S113" s="88"/>
      <c r="T113" s="77"/>
    </row>
    <row r="114" spans="4:20" x14ac:dyDescent="0.3">
      <c r="D114" s="78"/>
      <c r="M114" s="89"/>
      <c r="N114" s="80">
        <f>M104</f>
        <v>826178.12624999986</v>
      </c>
      <c r="O114" s="81">
        <f>N114*12%</f>
        <v>99141.375149999978</v>
      </c>
      <c r="P114" s="81">
        <f>N114*13%</f>
        <v>107403.15641249999</v>
      </c>
      <c r="Q114" s="80">
        <f>O114+P114</f>
        <v>206544.53156249996</v>
      </c>
      <c r="R114" s="90"/>
      <c r="S114" s="77"/>
      <c r="T114" s="90"/>
    </row>
  </sheetData>
  <mergeCells count="26">
    <mergeCell ref="M113:M114"/>
    <mergeCell ref="V8:V9"/>
    <mergeCell ref="W8:W9"/>
    <mergeCell ref="N9:O9"/>
    <mergeCell ref="A104:G104"/>
    <mergeCell ref="M109:M110"/>
    <mergeCell ref="M111:T112"/>
    <mergeCell ref="L8:L9"/>
    <mergeCell ref="M8:O8"/>
    <mergeCell ref="P8:P9"/>
    <mergeCell ref="R8:S8"/>
    <mergeCell ref="T8:T9"/>
    <mergeCell ref="U8:U9"/>
    <mergeCell ref="A8:A9"/>
    <mergeCell ref="B8:B9"/>
    <mergeCell ref="C8:C9"/>
    <mergeCell ref="D8:D9"/>
    <mergeCell ref="G8:G9"/>
    <mergeCell ref="H8:H9"/>
    <mergeCell ref="A1:W1"/>
    <mergeCell ref="A2:W2"/>
    <mergeCell ref="A3:C3"/>
    <mergeCell ref="A4:C4"/>
    <mergeCell ref="A5:C5"/>
    <mergeCell ref="A6:E6"/>
    <mergeCell ref="F6:J7"/>
  </mergeCells>
  <conditionalFormatting sqref="B165:B65536 B1:B10 B104:B107">
    <cfRule type="duplicateValues" dxfId="65" priority="59" stopIfTrue="1"/>
  </conditionalFormatting>
  <conditionalFormatting sqref="B165:B65536">
    <cfRule type="duplicateValues" dxfId="64" priority="58" stopIfTrue="1"/>
  </conditionalFormatting>
  <conditionalFormatting sqref="B104:B65536 B1:B10">
    <cfRule type="duplicateValues" dxfId="63" priority="57" stopIfTrue="1"/>
  </conditionalFormatting>
  <conditionalFormatting sqref="B104:B65536">
    <cfRule type="duplicateValues" dxfId="62" priority="56" stopIfTrue="1"/>
  </conditionalFormatting>
  <conditionalFormatting sqref="B46">
    <cfRule type="duplicateValues" dxfId="61" priority="53" stopIfTrue="1"/>
  </conditionalFormatting>
  <conditionalFormatting sqref="B50">
    <cfRule type="duplicateValues" dxfId="60" priority="52" stopIfTrue="1"/>
  </conditionalFormatting>
  <conditionalFormatting sqref="B50">
    <cfRule type="duplicateValues" dxfId="59" priority="51" stopIfTrue="1"/>
  </conditionalFormatting>
  <conditionalFormatting sqref="B50">
    <cfRule type="duplicateValues" dxfId="58" priority="50" stopIfTrue="1"/>
  </conditionalFormatting>
  <conditionalFormatting sqref="B51:B54 B47:B49 B40:B45">
    <cfRule type="duplicateValues" dxfId="57" priority="54" stopIfTrue="1"/>
  </conditionalFormatting>
  <conditionalFormatting sqref="B51:B54 B40:B49">
    <cfRule type="duplicateValues" dxfId="56" priority="55" stopIfTrue="1"/>
  </conditionalFormatting>
  <conditionalFormatting sqref="B59">
    <cfRule type="duplicateValues" dxfId="55" priority="49" stopIfTrue="1"/>
  </conditionalFormatting>
  <conditionalFormatting sqref="B61">
    <cfRule type="duplicateValues" dxfId="54" priority="48" stopIfTrue="1"/>
  </conditionalFormatting>
  <conditionalFormatting sqref="B66">
    <cfRule type="duplicateValues" dxfId="53" priority="47" stopIfTrue="1"/>
  </conditionalFormatting>
  <conditionalFormatting sqref="B65">
    <cfRule type="duplicateValues" dxfId="52" priority="46" stopIfTrue="1"/>
  </conditionalFormatting>
  <conditionalFormatting sqref="B64">
    <cfRule type="duplicateValues" dxfId="51" priority="45" stopIfTrue="1"/>
  </conditionalFormatting>
  <conditionalFormatting sqref="B63">
    <cfRule type="duplicateValues" dxfId="50" priority="44" stopIfTrue="1"/>
  </conditionalFormatting>
  <conditionalFormatting sqref="B62">
    <cfRule type="duplicateValues" dxfId="49" priority="43" stopIfTrue="1"/>
  </conditionalFormatting>
  <conditionalFormatting sqref="B103">
    <cfRule type="duplicateValues" dxfId="48" priority="42" stopIfTrue="1"/>
  </conditionalFormatting>
  <conditionalFormatting sqref="B102">
    <cfRule type="duplicateValues" dxfId="47" priority="41" stopIfTrue="1"/>
  </conditionalFormatting>
  <conditionalFormatting sqref="B101">
    <cfRule type="duplicateValues" dxfId="46" priority="40" stopIfTrue="1"/>
  </conditionalFormatting>
  <conditionalFormatting sqref="B96">
    <cfRule type="duplicateValues" dxfId="45" priority="39" stopIfTrue="1"/>
  </conditionalFormatting>
  <conditionalFormatting sqref="B74">
    <cfRule type="duplicateValues" dxfId="44" priority="38" stopIfTrue="1"/>
  </conditionalFormatting>
  <conditionalFormatting sqref="B73">
    <cfRule type="duplicateValues" dxfId="43" priority="37" stopIfTrue="1"/>
  </conditionalFormatting>
  <conditionalFormatting sqref="B72">
    <cfRule type="duplicateValues" dxfId="42" priority="36" stopIfTrue="1"/>
  </conditionalFormatting>
  <conditionalFormatting sqref="B70">
    <cfRule type="duplicateValues" dxfId="41" priority="35" stopIfTrue="1"/>
  </conditionalFormatting>
  <conditionalFormatting sqref="B69">
    <cfRule type="duplicateValues" dxfId="40" priority="34" stopIfTrue="1"/>
  </conditionalFormatting>
  <conditionalFormatting sqref="B68">
    <cfRule type="duplicateValues" dxfId="39" priority="33" stopIfTrue="1"/>
  </conditionalFormatting>
  <conditionalFormatting sqref="B67">
    <cfRule type="duplicateValues" dxfId="38" priority="32" stopIfTrue="1"/>
  </conditionalFormatting>
  <conditionalFormatting sqref="B101:B65536 B96 B72:B74 B1:B70">
    <cfRule type="duplicateValues" dxfId="37" priority="31" stopIfTrue="1"/>
  </conditionalFormatting>
  <conditionalFormatting sqref="B71:C71">
    <cfRule type="duplicateValues" dxfId="36" priority="30" stopIfTrue="1"/>
  </conditionalFormatting>
  <conditionalFormatting sqref="B71:C71">
    <cfRule type="duplicateValues" dxfId="35" priority="29" stopIfTrue="1"/>
  </conditionalFormatting>
  <conditionalFormatting sqref="B55:B56 B11:B39">
    <cfRule type="duplicateValues" dxfId="34" priority="60" stopIfTrue="1"/>
  </conditionalFormatting>
  <conditionalFormatting sqref="B95">
    <cfRule type="duplicateValues" dxfId="33" priority="28" stopIfTrue="1"/>
  </conditionalFormatting>
  <conditionalFormatting sqref="B94">
    <cfRule type="duplicateValues" dxfId="32" priority="27" stopIfTrue="1"/>
  </conditionalFormatting>
  <conditionalFormatting sqref="B93">
    <cfRule type="duplicateValues" dxfId="31" priority="26" stopIfTrue="1"/>
  </conditionalFormatting>
  <conditionalFormatting sqref="B92">
    <cfRule type="duplicateValues" dxfId="30" priority="25" stopIfTrue="1"/>
  </conditionalFormatting>
  <conditionalFormatting sqref="B91">
    <cfRule type="duplicateValues" dxfId="29" priority="24" stopIfTrue="1"/>
  </conditionalFormatting>
  <conditionalFormatting sqref="B76">
    <cfRule type="duplicateValues" dxfId="28" priority="23" stopIfTrue="1"/>
  </conditionalFormatting>
  <conditionalFormatting sqref="B75">
    <cfRule type="duplicateValues" dxfId="27" priority="22" stopIfTrue="1"/>
  </conditionalFormatting>
  <conditionalFormatting sqref="B59:B60">
    <cfRule type="duplicateValues" dxfId="26" priority="61" stopIfTrue="1"/>
  </conditionalFormatting>
  <conditionalFormatting sqref="B100">
    <cfRule type="duplicateValues" dxfId="25" priority="21" stopIfTrue="1"/>
  </conditionalFormatting>
  <conditionalFormatting sqref="B99">
    <cfRule type="duplicateValues" dxfId="24" priority="20" stopIfTrue="1"/>
  </conditionalFormatting>
  <conditionalFormatting sqref="B98">
    <cfRule type="duplicateValues" dxfId="23" priority="19" stopIfTrue="1"/>
  </conditionalFormatting>
  <conditionalFormatting sqref="B97">
    <cfRule type="duplicateValues" dxfId="22" priority="18" stopIfTrue="1"/>
  </conditionalFormatting>
  <conditionalFormatting sqref="B40:B49">
    <cfRule type="duplicateValues" dxfId="21" priority="62" stopIfTrue="1"/>
  </conditionalFormatting>
  <conditionalFormatting sqref="B57:B58">
    <cfRule type="duplicateValues" dxfId="20" priority="63" stopIfTrue="1"/>
  </conditionalFormatting>
  <conditionalFormatting sqref="B11:B60">
    <cfRule type="duplicateValues" dxfId="19" priority="64" stopIfTrue="1"/>
  </conditionalFormatting>
  <conditionalFormatting sqref="B75:B76 B91:B95">
    <cfRule type="duplicateValues" dxfId="18" priority="65" stopIfTrue="1"/>
  </conditionalFormatting>
  <conditionalFormatting sqref="B97:B100">
    <cfRule type="duplicateValues" dxfId="17" priority="66" stopIfTrue="1"/>
  </conditionalFormatting>
  <conditionalFormatting sqref="B90">
    <cfRule type="duplicateValues" dxfId="16" priority="15" stopIfTrue="1"/>
  </conditionalFormatting>
  <conditionalFormatting sqref="B89">
    <cfRule type="duplicateValues" dxfId="15" priority="14" stopIfTrue="1"/>
  </conditionalFormatting>
  <conditionalFormatting sqref="B88">
    <cfRule type="duplicateValues" dxfId="14" priority="13" stopIfTrue="1"/>
  </conditionalFormatting>
  <conditionalFormatting sqref="B87">
    <cfRule type="duplicateValues" dxfId="13" priority="12" stopIfTrue="1"/>
  </conditionalFormatting>
  <conditionalFormatting sqref="B82">
    <cfRule type="duplicateValues" dxfId="12" priority="11" stopIfTrue="1"/>
  </conditionalFormatting>
  <conditionalFormatting sqref="B87:B90 B82">
    <cfRule type="duplicateValues" dxfId="11" priority="10" stopIfTrue="1"/>
  </conditionalFormatting>
  <conditionalFormatting sqref="B81">
    <cfRule type="duplicateValues" dxfId="10" priority="9" stopIfTrue="1"/>
  </conditionalFormatting>
  <conditionalFormatting sqref="B80">
    <cfRule type="duplicateValues" dxfId="9" priority="8" stopIfTrue="1"/>
  </conditionalFormatting>
  <conditionalFormatting sqref="B79">
    <cfRule type="duplicateValues" dxfId="8" priority="7" stopIfTrue="1"/>
  </conditionalFormatting>
  <conditionalFormatting sqref="B78">
    <cfRule type="duplicateValues" dxfId="7" priority="6" stopIfTrue="1"/>
  </conditionalFormatting>
  <conditionalFormatting sqref="B77">
    <cfRule type="duplicateValues" dxfId="6" priority="5" stopIfTrue="1"/>
  </conditionalFormatting>
  <conditionalFormatting sqref="B86">
    <cfRule type="duplicateValues" dxfId="5" priority="4" stopIfTrue="1"/>
  </conditionalFormatting>
  <conditionalFormatting sqref="B85">
    <cfRule type="duplicateValues" dxfId="4" priority="3" stopIfTrue="1"/>
  </conditionalFormatting>
  <conditionalFormatting sqref="B84">
    <cfRule type="duplicateValues" dxfId="3" priority="2" stopIfTrue="1"/>
  </conditionalFormatting>
  <conditionalFormatting sqref="B83">
    <cfRule type="duplicateValues" dxfId="2" priority="1" stopIfTrue="1"/>
  </conditionalFormatting>
  <conditionalFormatting sqref="B77:B81">
    <cfRule type="duplicateValues" dxfId="1" priority="16" stopIfTrue="1"/>
  </conditionalFormatting>
  <conditionalFormatting sqref="B83:B86">
    <cfRule type="duplicateValues" dxfId="0" priority="17" stopIfTrue="1"/>
  </conditionalFormatting>
  <pageMargins left="0.15748031496062992" right="0.15748031496062992" top="0.78740157480314965" bottom="0.23622047244094491" header="0.47244094488188981" footer="0.23622047244094491"/>
  <pageSetup paperSize="8" scale="5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 Wages Sheet FORM XVII</vt:lpstr>
      <vt:lpstr>' Wages Sheet FORM XVII'!Print_Area</vt:lpstr>
      <vt:lpstr>' Wages Sheet FORM XVII'!Print_Titles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Singh</dc:creator>
  <cp:lastModifiedBy>Ritik Singh</cp:lastModifiedBy>
  <dcterms:created xsi:type="dcterms:W3CDTF">2026-04-29T14:55:20Z</dcterms:created>
  <dcterms:modified xsi:type="dcterms:W3CDTF">2026-04-29T14:55:37Z</dcterms:modified>
</cp:coreProperties>
</file>